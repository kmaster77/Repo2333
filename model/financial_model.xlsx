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puts" sheetId="2" state="visible" r:id="rId4"/>
    <sheet name="UnitEconomics" sheetId="3" state="visible" r:id="rId5"/>
    <sheet name="Capex" sheetId="4" state="visible" r:id="rId6"/>
    <sheet name="Revenue" sheetId="5" state="visible" r:id="rId7"/>
    <sheet name="Opex" sheetId="6" state="visible" r:id="rId8"/>
    <sheet name="PnL" sheetId="7" state="visible" r:id="rId9"/>
    <sheet name="CashFlow" sheetId="8" state="visible" r:id="rId10"/>
    <sheet name="Valuation" sheetId="9" state="visible" r:id="rId11"/>
    <sheet name="Scenarios" sheetId="10" state="visible" r:id="rId12"/>
    <sheet name="Sensitivity" sheetId="11" state="visible" r:id="rId13"/>
    <sheet name="Viability" sheetId="12" state="visible" r:id="rId14"/>
    <sheet name="Opt_Overview" sheetId="13" state="visible" r:id="rId15"/>
    <sheet name="Opt_AssetLight" sheetId="14" state="visible" r:id="rId16"/>
  </sheets>
  <definedNames>
    <definedName function="false" hidden="false" name="al_capex_life" vbProcedure="false">Opt_AssetLight!$Q$17</definedName>
    <definedName function="false" hidden="false" name="al_capex_t0" vbProcedure="false">Opt_AssetLight!$Q$16</definedName>
    <definedName function="false" hidden="false" name="al_circ_volume_per_licensee" vbProcedure="false">Opt_AssetLight!$Q$7</definedName>
    <definedName function="false" hidden="false" name="al_cost_per_fte" vbProcedure="false">Opt_AssetLight!$Q$13</definedName>
    <definedName function="false" hidden="false" name="al_fee_per_m3" vbProcedure="false">Opt_AssetLight!$Q$8</definedName>
    <definedName function="false" hidden="false" name="al_fte" vbProcedure="false">Opt_AssetLight!$Q$12</definedName>
    <definedName function="false" hidden="false" name="al_licensees_max" vbProcedure="false">Opt_AssetLight!$Q$6</definedName>
    <definedName function="false" hidden="false" name="al_overhead" vbProcedure="false">Opt_AssetLight!$Q$14</definedName>
    <definedName function="false" hidden="false" name="al_rca_margin_per_t" vbProcedure="false">Opt_AssetLight!$Q$10</definedName>
    <definedName function="false" hidden="false" name="al_rca_t_per_m3" vbProcedure="false">Opt_AssetLight!$Q$9</definedName>
    <definedName function="false" hidden="false" name="al_receivable_days" vbProcedure="false">Opt_AssetLight!$Q$18</definedName>
    <definedName function="false" hidden="false" name="al_services_rev" vbProcedure="false">Opt_AssetLight!$Q$11</definedName>
    <definedName function="false" hidden="false" name="al_startup_t0" vbProcedure="false">Opt_AssetLight!$Q$15</definedName>
    <definedName function="false" hidden="false" name="bad_debt_pct_revenue" vbProcedure="false">Inputs!$J$132</definedName>
    <definedName function="false" hidden="false" name="barge_rate" vbProcedure="false">Inputs!$J$111</definedName>
    <definedName function="false" hidden="false" name="barge_transshipment_per_t" vbProcedure="false">Inputs!$J$112</definedName>
    <definedName function="false" hidden="false" name="capex_lca_epd_one_off" vbProcedure="false">Inputs!$J$28</definedName>
    <definedName function="false" hidden="false" name="capex_permits_engineering" vbProcedure="false">Inputs!$J$27</definedName>
    <definedName function="false" hidden="false" name="capex_plant_equipment" vbProcedure="false">Inputs!$J$25</definedName>
    <definedName function="false" hidden="false" name="capex_preopening_costs" vbProcedure="false">Inputs!$J$29</definedName>
    <definedName function="false" hidden="false" name="capex_site_prep_civil" vbProcedure="false">Inputs!$J$26</definedName>
    <definedName function="false" hidden="false" name="capex_truck_mixers_option" vbProcedure="false">Inputs!$J$30</definedName>
    <definedName function="false" hidden="false" name="carbon_cost_cem1_2026" vbProcedure="false">Inputs!$J$82</definedName>
    <definedName function="false" hidden="false" name="carbon_cost_cem1_2027" vbProcedure="false">Inputs!$J$83</definedName>
    <definedName function="false" hidden="false" name="carbon_cost_cem1_2028" vbProcedure="false">Inputs!$J$84</definedName>
    <definedName function="false" hidden="false" name="carbon_cost_cem1_2029" vbProcedure="false">Inputs!$J$85</definedName>
    <definedName function="false" hidden="false" name="carbon_cost_cem1_2030" vbProcedure="false">Inputs!$J$86</definedName>
    <definedName function="false" hidden="false" name="carbon_cost_cem1_2031" vbProcedure="false">Inputs!$J$87</definedName>
    <definedName function="false" hidden="false" name="carbon_cost_cem1_2032" vbProcedure="false">Inputs!$J$88</definedName>
    <definedName function="false" hidden="false" name="carbon_cost_cem1_2033" vbProcedure="false">Inputs!$J$89</definedName>
    <definedName function="false" hidden="false" name="carbon_cost_cem1_2034" vbProcedure="false">Inputs!$J$90</definedName>
    <definedName function="false" hidden="false" name="carbon_cost_cem1_2035" vbProcedure="false">Inputs!$J$91</definedName>
    <definedName function="false" hidden="false" name="carbon_cost_cem1_2036" vbProcedure="false">Inputs!$J$92</definedName>
    <definedName function="false" hidden="false" name="carbon_cost_cem3b_2026" vbProcedure="false">Inputs!$J$93</definedName>
    <definedName function="false" hidden="false" name="carbon_cost_cem3b_2027" vbProcedure="false">Inputs!$J$94</definedName>
    <definedName function="false" hidden="false" name="carbon_cost_cem3b_2028" vbProcedure="false">Inputs!$J$95</definedName>
    <definedName function="false" hidden="false" name="carbon_cost_cem3b_2029" vbProcedure="false">Inputs!$J$96</definedName>
    <definedName function="false" hidden="false" name="carbon_cost_cem3b_2030" vbProcedure="false">Inputs!$J$97</definedName>
    <definedName function="false" hidden="false" name="carbon_cost_cem3b_2031" vbProcedure="false">Inputs!$J$98</definedName>
    <definedName function="false" hidden="false" name="carbon_cost_cem3b_2032" vbProcedure="false">Inputs!$J$99</definedName>
    <definedName function="false" hidden="false" name="carbon_cost_cem3b_2033" vbProcedure="false">Inputs!$J$100</definedName>
    <definedName function="false" hidden="false" name="carbon_cost_cem3b_2034" vbProcedure="false">Inputs!$J$101</definedName>
    <definedName function="false" hidden="false" name="carbon_cost_cem3b_2035" vbProcedure="false">Inputs!$J$102</definedName>
    <definedName function="false" hidden="false" name="carbon_cost_cem3b_2036" vbProcedure="false">Inputs!$J$103</definedName>
    <definedName function="false" hidden="false" name="cem3b_slag_scarcity_uplift_2031plus" vbProcedure="false">Inputs!$J$69</definedName>
    <definedName function="false" hidden="false" name="cement_carbon_passthrough" vbProcedure="false">Inputs!$J$68</definedName>
    <definedName function="false" hidden="false" name="certification_testing_fixed" vbProcedure="false">Inputs!$J$128</definedName>
    <definedName function="false" hidden="false" name="circular_share_of_volume" vbProcedure="false">Inputs!$J$22</definedName>
    <definedName function="false" hidden="false" name="co2_per_m3_circ" vbProcedure="false">Inputs!$J$152</definedName>
    <definedName function="false" hidden="false" name="co2_per_m3_conv_cem1" vbProcedure="false">Inputs!$J$153</definedName>
    <definedName function="false" hidden="false" name="co2_per_m3_conv_cem3b" vbProcedure="false">Inputs!$J$151</definedName>
    <definedName function="false" hidden="false" name="concrete_price_passthrough_of_market_binder_cost" vbProcedure="false">Inputs!$J$70</definedName>
    <definedName function="false" hidden="false" name="cost_per_fte_production" vbProcedure="false">Inputs!$J$123</definedName>
    <definedName function="false" hidden="false" name="cost_per_fte_sga" vbProcedure="false">Inputs!$J$125</definedName>
    <definedName function="false" hidden="false" name="cpi_factor_2025_to_2026" vbProcedure="false">Inputs!$J$8</definedName>
    <definedName function="false" hidden="false" name="delivery_avg_distance_oneway" vbProcedure="false">Inputs!$J$135</definedName>
    <definedName function="false" hidden="false" name="delivery_fixed_per_m3" vbProcedure="false">Inputs!$J$133</definedName>
    <definedName function="false" hidden="false" name="delivery_radius_max" vbProcedure="false">Inputs!$J$136</definedName>
    <definedName function="false" hidden="false" name="delivery_variable_per_km_oneway" vbProcedure="false">Inputs!$J$134</definedName>
    <definedName function="false" hidden="false" name="diesel_use_plant" vbProcedure="false">Inputs!$J$120</definedName>
    <definedName function="false" hidden="false" name="discount_rate_real" vbProcedure="false">Inputs!$J$9</definedName>
    <definedName function="false" hidden="false" name="electricity_use" vbProcedure="false">Inputs!$J$118</definedName>
    <definedName function="false" hidden="false" name="eua_price_2026" vbProcedure="false">Inputs!$J$71</definedName>
    <definedName function="false" hidden="false" name="eua_price_2027" vbProcedure="false">Inputs!$J$72</definedName>
    <definedName function="false" hidden="false" name="eua_price_2028" vbProcedure="false">Inputs!$J$73</definedName>
    <definedName function="false" hidden="false" name="eua_price_2029" vbProcedure="false">Inputs!$J$74</definedName>
    <definedName function="false" hidden="false" name="eua_price_2030" vbProcedure="false">Inputs!$J$75</definedName>
    <definedName function="false" hidden="false" name="eua_price_2031" vbProcedure="false">Inputs!$J$76</definedName>
    <definedName function="false" hidden="false" name="eua_price_2032" vbProcedure="false">Inputs!$J$77</definedName>
    <definedName function="false" hidden="false" name="eua_price_2033" vbProcedure="false">Inputs!$J$78</definedName>
    <definedName function="false" hidden="false" name="eua_price_2034" vbProcedure="false">Inputs!$J$79</definedName>
    <definedName function="false" hidden="false" name="eua_price_2035" vbProcedure="false">Inputs!$J$80</definedName>
    <definedName function="false" hidden="false" name="eua_price_2036" vbProcedure="false">Inputs!$J$81</definedName>
    <definedName function="false" hidden="false" name="general_inflation_real_model" vbProcedure="false">Inputs!$J$7</definedName>
    <definedName function="false" hidden="false" name="grant_dei_veki_first_plant" vbProcedure="false">Inputs!$J$15</definedName>
    <definedName function="false" hidden="false" name="green_premium_private" vbProcedure="false">Inputs!$J$142</definedName>
    <definedName function="false" hidden="false" name="green_premium_public" vbProcedure="false">Inputs!$J$141</definedName>
    <definedName function="false" hidden="false" name="gwp_cem1" vbProcedure="false">Inputs!$J$148</definedName>
    <definedName function="false" hidden="false" name="gwp_cem3b" vbProcedure="false">Inputs!$J$147</definedName>
    <definedName function="false" hidden="false" name="gwp_other_per_m3_circ" vbProcedure="false">Inputs!$J$150</definedName>
    <definedName function="false" hidden="false" name="gwp_other_per_m3_conv" vbProcedure="false">Inputs!$J$149</definedName>
    <definedName function="false" hidden="false" name="hybrid_brl2506_certification" vbProcedure="false">Inputs!$J$177</definedName>
    <definedName function="false" hidden="false" name="hybrid_cost_contaminant_disposal" vbProcedure="false">Inputs!$J$172</definedName>
    <definedName function="false" hidden="false" name="hybrid_crusher_capex_advanced" vbProcedure="false">Inputs!$J$162</definedName>
    <definedName function="false" hidden="false" name="hybrid_crusher_capex_mobile" vbProcedure="false">Inputs!$J$160</definedName>
    <definedName function="false" hidden="false" name="hybrid_crusher_capex_stationary_highgrade" vbProcedure="false">Inputs!$J$161</definedName>
    <definedName function="false" hidden="false" name="hybrid_crusher_diesel" vbProcedure="false">Inputs!$J$173</definedName>
    <definedName function="false" hidden="false" name="hybrid_crusher_lifetime" vbProcedure="false">Inputs!$J$163</definedName>
    <definedName function="false" hidden="false" name="hybrid_crusher_maintenance_pct_capex" vbProcedure="false">Inputs!$J$176</definedName>
    <definedName function="false" hidden="false" name="hybrid_crusher_staff_fte" vbProcedure="false">Inputs!$J$175</definedName>
    <definedName function="false" hidden="false" name="hybrid_crusher_wear" vbProcedure="false">Inputs!$J$174</definedName>
    <definedName function="false" hidden="false" name="hybrid_extra_site_area" vbProcedure="false">Inputs!$J$178</definedName>
    <definedName function="false" hidden="false" name="hybrid_gate_fee_received" vbProcedure="false">Inputs!$J$164</definedName>
    <definedName function="false" hidden="false" name="hybrid_permit_lead_time" vbProcedure="false">Inputs!$J$179</definedName>
    <definedName function="false" hidden="false" name="hybrid_price_crusher_sand" vbProcedure="false">Inputs!$J$170</definedName>
    <definedName function="false" hidden="false" name="hybrid_price_steel_scrap" vbProcedure="false">Inputs!$J$171</definedName>
    <definedName function="false" hidden="false" name="hybrid_rubble_needed" vbProcedure="false">Inputs!$J$159</definedName>
    <definedName function="false" hidden="false" name="hybrid_value_coarse_internal" vbProcedure="false">Inputs!$J$169</definedName>
    <definedName function="false" hidden="false" name="hybrid_yield_coarse" vbProcedure="false">Inputs!$J$165</definedName>
    <definedName function="false" hidden="false" name="hybrid_yield_contaminants" vbProcedure="false">Inputs!$J$168</definedName>
    <definedName function="false" hidden="false" name="hybrid_yield_sand_0_4" vbProcedure="false">Inputs!$J$166</definedName>
    <definedName function="false" hidden="false" name="hybrid_yield_steel" vbProcedure="false">Inputs!$J$167</definedName>
    <definedName function="false" hidden="false" name="kpi_al_ebitda_y3" vbProcedure="false">Opt_AssetLight!$C$32</definedName>
    <definedName function="false" hidden="false" name="kpi_al_funding" vbProcedure="false">Opt_AssetLight!$C$33</definedName>
    <definedName function="false" hidden="false" name="kpi_al_irr" vbProcedure="false">Opt_AssetLight!$C$30</definedName>
    <definedName function="false" hidden="false" name="kpi_al_npv" vbProcedure="false">Opt_AssetLight!$C$29</definedName>
    <definedName function="false" hidden="false" name="kpi_al_payback" vbProcedure="false">Opt_AssetLight!$C$31</definedName>
    <definedName function="false" hidden="false" name="kpi_be_vol" vbProcedure="false">Valuation!$B$20</definedName>
    <definedName function="false" hidden="false" name="kpi_be_vol_cc" vbProcedure="false">Valuation!$B$22</definedName>
    <definedName function="false" hidden="false" name="kpi_capex" vbProcedure="false">Valuation!$B$15</definedName>
    <definedName function="false" hidden="false" name="kpi_cap_charge" vbProcedure="false">Valuation!$B$21</definedName>
    <definedName function="false" hidden="false" name="kpi_discount_rate" vbProcedure="false">Valuation!$B$7</definedName>
    <definedName function="false" hidden="false" name="kpi_dpayback" vbProcedure="false">Valuation!$B$10</definedName>
    <definedName function="false" hidden="false" name="kpi_ebitda_y1" vbProcedure="false">Valuation!$B$12</definedName>
    <definedName function="false" hidden="false" name="kpi_ebitda_y10" vbProcedure="false">Valuation!$B$13</definedName>
    <definedName function="false" hidden="false" name="kpi_ebitda_y3" vbProcedure="false">Valuation!$B$11</definedName>
    <definedName function="false" hidden="false" name="kpi_funding" vbProcedure="false">Valuation!$B$14</definedName>
    <definedName function="false" hidden="false" name="kpi_irr" vbProcedure="false">Valuation!$B$8</definedName>
    <definedName function="false" hidden="false" name="kpi_npv" vbProcedure="false">Valuation!$B$5</definedName>
    <definedName function="false" hidden="false" name="kpi_npv_check" vbProcedure="false">Valuation!$B$6</definedName>
    <definedName function="false" hidden="false" name="kpi_npv_pct" vbProcedure="false">Valuation!$B$16</definedName>
    <definedName function="false" hidden="false" name="kpi_npv_wc" vbProcedure="false">Valuation!$B$17</definedName>
    <definedName function="false" hidden="false" name="kpi_payback" vbProcedure="false">Valuation!$B$9</definedName>
    <definedName function="false" hidden="false" name="kpi_rev_y3" vbProcedure="false">Valuation!$B$18</definedName>
    <definedName function="false" hidden="false" name="kpi_unit_contrib" vbProcedure="false">Valuation!$B$19</definedName>
    <definedName function="false" hidden="false" name="land_purchase" vbProcedure="false">Inputs!$J$31</definedName>
    <definedName function="false" hidden="false" name="lifetime_civil_works" vbProcedure="false">Inputs!$J$33</definedName>
    <definedName function="false" hidden="false" name="lifetime_permits_engineering" vbProcedure="false">Inputs!$J$34</definedName>
    <definedName function="false" hidden="false" name="lifetime_plant_equipment" vbProcedure="false">Inputs!$J$32</definedName>
    <definedName function="false" hidden="false" name="maintenance_pct_of_capex" vbProcedure="false">Inputs!$J$127</definedName>
    <definedName function="false" hidden="false" name="mia_eligible_share_of_capex" vbProcedure="false">Inputs!$J$14</definedName>
    <definedName function="false" hidden="false" name="mia_net_value_pct_eligible_capex" vbProcedure="false">Inputs!$J$13</definedName>
    <definedName function="false" hidden="false" name="mix_circ_binder" vbProcedure="false">Inputs!$J$40</definedName>
    <definedName function="false" hidden="false" name="mix_circ_gravel" vbProcedure="false">Inputs!$J$41</definedName>
    <definedName function="false" hidden="false" name="mix_circ_rca_coarse" vbProcedure="false">Inputs!$J$42</definedName>
    <definedName function="false" hidden="false" name="mix_circ_rca_fine" vbProcedure="false">Inputs!$J$44</definedName>
    <definedName function="false" hidden="false" name="mix_circ_sand" vbProcedure="false">Inputs!$J$43</definedName>
    <definedName function="false" hidden="false" name="mix_circ_superplasticiser_pct_binder" vbProcedure="false">Inputs!$J$47</definedName>
    <definedName function="false" hidden="false" name="mix_circ_water_absorption" vbProcedure="false">Inputs!$J$46</definedName>
    <definedName function="false" hidden="false" name="mix_circ_water_effective" vbProcedure="false">Inputs!$J$45</definedName>
    <definedName function="false" hidden="false" name="mix_conv_cem1_binder" vbProcedure="false">Inputs!$J$56</definedName>
    <definedName function="false" hidden="false" name="mix_conv_cem1_gravel" vbProcedure="false">Inputs!$J$57</definedName>
    <definedName function="false" hidden="false" name="mix_conv_cem1_rca_coarse" vbProcedure="false">Inputs!$J$58</definedName>
    <definedName function="false" hidden="false" name="mix_conv_cem1_rca_fine" vbProcedure="false">Inputs!$J$60</definedName>
    <definedName function="false" hidden="false" name="mix_conv_cem1_sand" vbProcedure="false">Inputs!$J$59</definedName>
    <definedName function="false" hidden="false" name="mix_conv_cem1_superplasticiser_pct_binder" vbProcedure="false">Inputs!$J$63</definedName>
    <definedName function="false" hidden="false" name="mix_conv_cem1_water_absorption" vbProcedure="false">Inputs!$J$62</definedName>
    <definedName function="false" hidden="false" name="mix_conv_cem1_water_effective" vbProcedure="false">Inputs!$J$61</definedName>
    <definedName function="false" hidden="false" name="mix_conv_cem3b_binder" vbProcedure="false">Inputs!$J$48</definedName>
    <definedName function="false" hidden="false" name="mix_conv_cem3b_gravel" vbProcedure="false">Inputs!$J$49</definedName>
    <definedName function="false" hidden="false" name="mix_conv_cem3b_rca_coarse" vbProcedure="false">Inputs!$J$50</definedName>
    <definedName function="false" hidden="false" name="mix_conv_cem3b_rca_fine" vbProcedure="false">Inputs!$J$52</definedName>
    <definedName function="false" hidden="false" name="mix_conv_cem3b_sand" vbProcedure="false">Inputs!$J$51</definedName>
    <definedName function="false" hidden="false" name="mix_conv_cem3b_superplasticiser_pct_binder" vbProcedure="false">Inputs!$J$55</definedName>
    <definedName function="false" hidden="false" name="mix_conv_cem3b_water_absorption" vbProcedure="false">Inputs!$J$54</definedName>
    <definedName function="false" hidden="false" name="mix_conv_cem3b_water_effective" vbProcedure="false">Inputs!$J$53</definedName>
    <definedName function="false" hidden="false" name="mix_plant_avg_binder_circ" vbProcedure="false">Inputs!$J$65</definedName>
    <definedName function="false" hidden="false" name="mix_plant_avg_binder_conv" vbProcedure="false">Inputs!$J$64</definedName>
    <definedName function="false" hidden="false" name="mki_a2_set_multiplier" vbProcedure="false">Inputs!$J$157</definedName>
    <definedName function="false" hidden="false" name="mki_per_m3_circ_betonakkoord_basis" vbProcedure="false">Inputs!$J$155</definedName>
    <definedName function="false" hidden="false" name="mki_per_m3_conv_cem1_betonakkoord_basis" vbProcedure="false">Inputs!$J$156</definedName>
    <definedName function="false" hidden="false" name="mki_per_m3_conv_cem3b_betonakkoord_basis" vbProcedure="false">Inputs!$J$154</definedName>
    <definedName function="false" hidden="false" name="mki_tender_share_of_public_volume" vbProcedure="false">Inputs!$J$145</definedName>
    <definedName function="false" hidden="false" name="mki_value_to_supplier" vbProcedure="false">Inputs!$J$144</definedName>
    <definedName function="false" hidden="false" name="nmd_cat3_surcharge" vbProcedure="false">Inputs!$J$158</definedName>
    <definedName function="false" hidden="false" name="operating_days" vbProcedure="false">Inputs!$J$24</definedName>
    <definedName function="false" hidden="false" name="option_sel" vbProcedure="false">Inputs!$I$3</definedName>
    <definedName function="false" hidden="false" name="opt_circ_cost_delta_per_m3" vbProcedure="false">Inputs!$J$195</definedName>
    <definedName function="false" hidden="false" name="opt_circ_delta_start_year" vbProcedure="false">Inputs!$J$196</definedName>
    <definedName function="false" hidden="false" name="opt_circ_price_delta_per_m3" vbProcedure="false">Inputs!$J$194</definedName>
    <definedName function="false" hidden="false" name="opt_cost_delta_per_m3" vbProcedure="false">Inputs!$J$185</definedName>
    <definedName function="false" hidden="false" name="opt_crusher_capex" vbProcedure="false">Inputs!$J$190</definedName>
    <definedName function="false" hidden="false" name="opt_crusher_contract_rate" vbProcedure="false">Inputs!$J$191</definedName>
    <definedName function="false" hidden="false" name="opt_crusher_mia_share_pct" vbProcedure="false">Inputs!$J$193</definedName>
    <definedName function="false" hidden="false" name="opt_crusher_on" vbProcedure="false">Inputs!$J$187</definedName>
    <definedName function="false" hidden="false" name="opt_crusher_salvage_pct" vbProcedure="false">Inputs!$J$192</definedName>
    <definedName function="false" hidden="false" name="opt_crusher_start_year" vbProcedure="false">Inputs!$J$188</definedName>
    <definedName function="false" hidden="false" name="opt_extra_capex_y0" vbProcedure="false">Inputs!$J$181</definedName>
    <definedName function="false" hidden="false" name="opt_extra_opex_per_yr" vbProcedure="false">Inputs!$J$183</definedName>
    <definedName function="false" hidden="false" name="opt_extra_revenue_per_yr" vbProcedure="false">Inputs!$J$182</definedName>
    <definedName function="false" hidden="false" name="opt_price_delta_per_m3" vbProcedure="false">Inputs!$J$184</definedName>
    <definedName function="false" hidden="false" name="opt_rubble_intake_tpy" vbProcedure="false">Inputs!$J$189</definedName>
    <definedName function="false" hidden="false" name="opt_start_delay" vbProcedure="false">Inputs!$J$186</definedName>
    <definedName function="false" hidden="false" name="output_steady_state" vbProcedure="false">Inputs!$J$18</definedName>
    <definedName function="false" hidden="false" name="plant_capacity_hourly" vbProcedure="false">Inputs!$J$16</definedName>
    <definedName function="false" hidden="false" name="plant_capacity_theoretical" vbProcedure="false">Inputs!$J$17</definedName>
    <definedName function="false" hidden="false" name="price_basis" vbProcedure="false">Inputs!$J$6</definedName>
    <definedName function="false" hidden="false" name="price_c30_37_project_delivered" vbProcedure="false">Inputs!$J$138</definedName>
    <definedName function="false" hidden="false" name="price_cem1_2026_delivered" vbProcedure="false">Inputs!$J$67</definedName>
    <definedName function="false" hidden="false" name="price_cem3b_2026_delivered" vbProcedure="false">Inputs!$J$66</definedName>
    <definedName function="false" hidden="false" name="price_diesel" vbProcedure="false">Inputs!$J$121</definedName>
    <definedName function="false" hidden="false" name="price_electricity" vbProcedure="false">Inputs!$J$119</definedName>
    <definedName function="false" hidden="false" name="price_gravel_delivered" vbProcedure="false">Inputs!$J$104</definedName>
    <definedName function="false" hidden="false" name="price_list_c30_37" vbProcedure="false">Inputs!$J$140</definedName>
    <definedName function="false" hidden="false" name="price_plant_avg_all_classes" vbProcedure="false">Inputs!$J$139</definedName>
    <definedName function="false" hidden="false" name="price_rca_coarse_delivered" vbProcedure="false">Inputs!$J$110</definedName>
    <definedName function="false" hidden="false" name="price_rca_coarse_exworks" vbProcedure="false">Inputs!$J$106</definedName>
    <definedName function="false" hidden="false" name="price_rca_fine_exworks" vbProcedure="false">Inputs!$J$113</definedName>
    <definedName function="false" hidden="false" name="price_real_escalation" vbProcedure="false">Inputs!$J$146</definedName>
    <definedName function="false" hidden="false" name="price_sand_delivered" vbProcedure="false">Inputs!$J$105</definedName>
    <definedName function="false" hidden="false" name="price_superplasticiser" vbProcedure="false">Inputs!$J$114</definedName>
    <definedName function="false" hidden="false" name="price_water" vbProcedure="false">Inputs!$J$115</definedName>
    <definedName function="false" hidden="false" name="public_share_of_sales" vbProcedure="false">Inputs!$J$23</definedName>
    <definedName function="false" hidden="false" name="ramp_year1_pct_of_steady" vbProcedure="false">Inputs!$J$19</definedName>
    <definedName function="false" hidden="false" name="ramp_year2_pct_of_steady" vbProcedure="false">Inputs!$J$20</definedName>
    <definedName function="false" hidden="false" name="ramp_year3plus_pct_of_steady" vbProcedure="false">Inputs!$J$21</definedName>
    <definedName function="false" hidden="false" name="rca_handling_prewetting" vbProcedure="false">Inputs!$J$117</definedName>
    <definedName function="false" hidden="false" name="rca_lot_testing" vbProcedure="false">Inputs!$J$116</definedName>
    <definedName function="false" hidden="false" name="rca_transport_distance" vbProcedure="false">Inputs!$J$107</definedName>
    <definedName function="false" hidden="false" name="real_wage_growth" vbProcedure="false">Inputs!$J$126</definedName>
    <definedName function="false" hidden="false" name="recycled_surcharge_list_evidence" vbProcedure="false">Inputs!$J$143</definedName>
    <definedName function="false" hidden="false" name="road_handling_per_t" vbProcedure="false">Inputs!$J$109</definedName>
    <definedName function="false" hidden="false" name="road_haulage_rate" vbProcedure="false">Inputs!$J$108</definedName>
    <definedName function="false" hidden="false" name="salvage_value_yr10_pct_of_plant_civil_capex" vbProcedure="false">Inputs!$J$35</definedName>
    <definedName function="false" hidden="false" name="scenario" vbProcedure="false">Inputs!$C$3</definedName>
    <definedName function="false" hidden="false" name="sga_fixed_non_staff" vbProcedure="false">Inputs!$J$131</definedName>
    <definedName function="false" hidden="false" name="site_area" vbProcedure="false">Inputs!$J$129</definedName>
    <definedName function="false" hidden="false" name="site_lease_rate" vbProcedure="false">Inputs!$J$130</definedName>
    <definedName function="false" hidden="false" name="staff_production_fte" vbProcedure="false">Inputs!$J$122</definedName>
    <definedName function="false" hidden="false" name="staff_sga_fte" vbProcedure="false">Inputs!$J$124</definedName>
    <definedName function="false" hidden="false" name="sustaining_capex_pct_of_capex" vbProcedure="false">Inputs!$J$39</definedName>
    <definedName function="false" hidden="false" name="tax_rate_vpb_high_bracket" vbProcedure="false">Inputs!$J$12</definedName>
    <definedName function="false" hidden="false" name="tax_rate_vpb_low_bracket" vbProcedure="false">Inputs!$J$10</definedName>
    <definedName function="false" hidden="false" name="tax_vpb_low_bracket_limit" vbProcedure="false">Inputs!$J$11</definedName>
    <definedName function="false" hidden="false" name="truck_mixer_hourly_cost" vbProcedure="false">Inputs!$J$137</definedName>
    <definedName function="false" hidden="false" name="working_capital_inventory_days" vbProcedure="false">Inputs!$J$38</definedName>
    <definedName function="false" hidden="false" name="working_capital_payable_days" vbProcedure="false">Inputs!$J$37</definedName>
    <definedName function="false" hidden="false" name="working_capital_receivable_days" vbProcedure="false">Inputs!$J$36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<sst xmlns="http://schemas.openxmlformats.org/spreadsheetml/2006/main" count="2064" uniqueCount="961">
  <si>
    <t xml:space="preserve">Financial model - B1 circular ready-mix plant, Zuid-Holland (Rotterdam-Drechtsteden)</t>
  </si>
  <si>
    <t xml:space="preserve">Built by model/build_model.py from model/inputs.csv. Same model as model/model_core.py (checked: model/check_report.md).</t>
  </si>
  <si>
    <t xml:space="preserve">COLOUR CODE</t>
  </si>
  <si>
    <t xml:space="preserve">Blue font (yellow fill) = input you may change. Black font = live formula. Grey italic = value computed by model_core.py (not live). Green fill = check (must be 0).</t>
  </si>
  <si>
    <t xml:space="preserve">HOW IT WORKS</t>
  </si>
  <si>
    <t xml:space="preserve">1. Inputs: every parameter has low/base/high. Cell Inputs!C3 picks the scenario (1 pessimistic, 2 base, 3 optimistic).</t>
  </si>
  <si>
    <t xml:space="preserve">   Column H picks the column per parameter; column I is an OVERRIDE; column J is the ACTIVE value. Each active cell has a defined name = parameter name.</t>
  </si>
  <si>
    <t xml:space="preserve">   Pessimistic = high column for cost-type inputs, low column for revenue-type inputs (column N 'direction'). 'fixed' inputs stay at base in all scenarios.</t>
  </si>
  <si>
    <t xml:space="preserve">2. Capex -&gt; Revenue -&gt; Opex -&gt; PnL -&gt; CashFlow -&gt; Valuation. Yearly sheets: column C = 2026 (t=0), D..M = 2027..2036 (t=1..10).</t>
  </si>
  <si>
    <t xml:space="preserve">3. UnitEconomics: EUR/m3 stack for circular vs standard mix and plant average, for the year in UnitEconomics!C3.</t>
  </si>
  <si>
    <t xml:space="preserve">4. Scenarios, Sensitivity, Viability criterion 4: computed with model_core.py (one model run per case) and pasted as values.</t>
  </si>
  <si>
    <t xml:space="preserve">KEY CONVENTIONS</t>
  </si>
  <si>
    <t xml:space="preserve">Real 2026 EUR excl. VAT, no general inflation. Discount rate 8% real (6% / 10% tested in Sensitivity).</t>
  </si>
  <si>
    <t xml:space="preserve">Timing: 2026 (t=0) = permitting + construction; all initial capex, start-up costs (pre-opening, LCA/EPD) and grant in t=0, undiscounted.</t>
  </si>
  <si>
    <t xml:space="preserve">   Operations 2027-2036 (t=1..10). Ramp: 50% / 79% / 100% of 70,000 m3 in 2027 / 2028 / 2029+. NOTE: starting sales in 2027 is optimistic</t>
  </si>
  <si>
    <t xml:space="preserve">   (technology.md: 12-18 months build incl. permit from late 2026). A one-year delay is not in the base case.</t>
  </si>
  <si>
    <t xml:space="preserve">Price/cost basis: plant average over all strength classes (EUR 135/m3, ~310 kg cement), NOT C30/37 (Agent 5 advice).</t>
  </si>
  <si>
    <t xml:space="preserve">Concrete price follows 80% of the market-wide CEM III/B carbon &amp; slag cost increase. Green premium only on circular volume.</t>
  </si>
  <si>
    <t xml:space="preserve">Tax: Vpb 19% to EUR 200k, 25.8% above; losses carried forward; MIA as extra deduction in t=0; grant taxable in t=0. Unlevered (no debt).</t>
  </si>
  <si>
    <t xml:space="preserve">Terminal value = salvage value of plant+civil only (25%), tax-neutral, in 2036. Working capital NOT released (memo on Valuation).</t>
  </si>
  <si>
    <t xml:space="preserve">Payback uses cumulative FCF excluding salvage, interpolated; measured from t=0 (2026).</t>
  </si>
  <si>
    <t xml:space="preserve">Funding need = peak cumulative negative free cash flow (before any financing).</t>
  </si>
  <si>
    <t xml:space="preserve">ADDING OPTION SCENARIOS (for Agent 7)</t>
  </si>
  <si>
    <t xml:space="preserve">a) Fill the Override column (Inputs!I) or the option hooks (opt_*, bottom of Inputs). Nothing else needs to change.</t>
  </si>
  <si>
    <t xml:space="preserve">b) In Python: model_core.run(load_inputs(), overrides={...}); build a copy of this workbook with build_model.build_workbook(path, overrides={...}).</t>
  </si>
  <si>
    <t xml:space="preserve">c) For a new option sheet: add a sheet that reads the defined names / kpi_* names (e.g. kpi_npv) or paste model_core results.</t>
  </si>
  <si>
    <t xml:space="preserve">VIABILITY OPTIONS (Agent 7): Inputs!I3 = option number (Opt_Overview lists them); the whole model recalculates live with that option.</t>
  </si>
  <si>
    <t xml:space="preserve">   New live logic (0 = off, base unchanged): opt_start_delay (first sales later), on-site crushing block (opt_crusher_*, hybrid_* inputs),</t>
  </si>
  <si>
    <t xml:space="preserve">   circular-only price/cost deltas from a start year. Option O6 asset-light = separate live model on sheet Opt_AssetLight.</t>
  </si>
  <si>
    <t xml:space="preserve">FILES</t>
  </si>
  <si>
    <t xml:space="preserve">model/inputs.csv, model/model_core.py, model/build_model.py, model/check_model.py, model/charts.py, model/charts/*.png, model/model_summary.md, model/check_report.md</t>
  </si>
  <si>
    <t xml:space="preserve">Inputs - all model parameters (from model/inputs.csv) + option hooks</t>
  </si>
  <si>
    <t xml:space="preserve">ACTIVE SCENARIO (1 = pessimistic, 2 = base, 3 = optimistic)</t>
  </si>
  <si>
    <t xml:space="preserve">ACTIVE OPTION (0 = none; see Opt_Overview)</t>
  </si>
  <si>
    <t xml:space="preserve">Column H picks low/base/high per row: pessimistic uses column F, optimistic column G (1=low, 2=base, 3=high). Column I = OVERRIDE (leave empty = use H). Column O = value of the ACTIVE OPTION (cell I3, matrix on sheet Opt_Overview). Column J = ACTIVE value used by every formula (priority: Override &gt; option &gt; scenario; defined name = parameter name).</t>
  </si>
  <si>
    <t xml:space="preserve">parameter (= defined name)</t>
  </si>
  <si>
    <t xml:space="preserve">unit</t>
  </si>
  <si>
    <t xml:space="preserve">low</t>
  </si>
  <si>
    <t xml:space="preserve">base</t>
  </si>
  <si>
    <t xml:space="preserve">high</t>
  </si>
  <si>
    <t xml:space="preserve">pess. col</t>
  </si>
  <si>
    <t xml:space="preserve">opt. col</t>
  </si>
  <si>
    <t xml:space="preserve">scenario value</t>
  </si>
  <si>
    <t xml:space="preserve">OVERRIDE</t>
  </si>
  <si>
    <t xml:space="preserve">ACTIVE</t>
  </si>
  <si>
    <t xml:space="preserve">label</t>
  </si>
  <si>
    <t xml:space="preserve">source_ids</t>
  </si>
  <si>
    <t xml:space="preserve">notes</t>
  </si>
  <si>
    <t xml:space="preserve">direction</t>
  </si>
  <si>
    <t xml:space="preserve">option value</t>
  </si>
  <si>
    <t xml:space="preserve">price_basis</t>
  </si>
  <si>
    <t xml:space="preserve">-</t>
  </si>
  <si>
    <t xml:space="preserve">real 2026 EUR excl. VAT</t>
  </si>
  <si>
    <t xml:space="preserve">ASSUMPTION</t>
  </si>
  <si>
    <t xml:space="preserve">plan.md</t>
  </si>
  <si>
    <t xml:space="preserve">All money in real 2026 EUR; general inflation = 0 in the model; only explicit real escalations below</t>
  </si>
  <si>
    <t xml:space="preserve">fixed</t>
  </si>
  <si>
    <t xml:space="preserve">general_inflation_real_model</t>
  </si>
  <si>
    <t xml:space="preserve">%/yr</t>
  </si>
  <si>
    <t xml:space="preserve">Real model. CBS CPI 2026 ~3.4% only used to convert older prices (TEC-44)</t>
  </si>
  <si>
    <t xml:space="preserve">cpi_factor_2025_to_2026</t>
  </si>
  <si>
    <t xml:space="preserve">x</t>
  </si>
  <si>
    <t xml:space="preserve">ESTIMATE</t>
  </si>
  <si>
    <t xml:space="preserve">MKT-54</t>
  </si>
  <si>
    <t xml:space="preserve">CBS CPI Jan-2026 99.21 / Jan-2025 97.09 = 1.022; replaces placeholder A-CMP-15</t>
  </si>
  <si>
    <t xml:space="preserve">discount_rate_real</t>
  </si>
  <si>
    <t xml:space="preserve">%</t>
  </si>
  <si>
    <t xml:space="preserve">Client choice</t>
  </si>
  <si>
    <t xml:space="preserve">tax_rate_vpb_low_bracket</t>
  </si>
  <si>
    <t xml:space="preserve">A-CST-30</t>
  </si>
  <si>
    <t xml:space="preserve">Dutch Vpb on first EUR 200k taxable profit (rate in force 2023-2026; not re-checked this session)</t>
  </si>
  <si>
    <t xml:space="preserve">tax_vpb_low_bracket_limit</t>
  </si>
  <si>
    <t xml:space="preserve">EUR</t>
  </si>
  <si>
    <t xml:space="preserve">tax_rate_vpb_high_bracket</t>
  </si>
  <si>
    <t xml:space="preserve">Above EUR 200k</t>
  </si>
  <si>
    <t xml:space="preserve">mia_net_value_pct_eligible_capex</t>
  </si>
  <si>
    <t xml:space="preserve">A-POL-21</t>
  </si>
  <si>
    <t xml:space="preserve">Only if taxable profit</t>
  </si>
  <si>
    <t xml:space="preserve">rev</t>
  </si>
  <si>
    <t xml:space="preserve">mia_eligible_share_of_capex</t>
  </si>
  <si>
    <t xml:space="preserve">A-POL-22</t>
  </si>
  <si>
    <t xml:space="preserve">grant_dei_veki_first_plant</t>
  </si>
  <si>
    <t xml:space="preserve">MEUR</t>
  </si>
  <si>
    <t xml:space="preserve">A-POL-24</t>
  </si>
  <si>
    <t xml:space="preserve">Upside; competitive</t>
  </si>
  <si>
    <t xml:space="preserve">plant_capacity_hourly</t>
  </si>
  <si>
    <t xml:space="preserve">m3/h</t>
  </si>
  <si>
    <t xml:space="preserve">A-TEC-23</t>
  </si>
  <si>
    <t xml:space="preserve">Twin-shaft 3 m3 mixer</t>
  </si>
  <si>
    <t xml:space="preserve">plant_capacity_theoretical</t>
  </si>
  <si>
    <t xml:space="preserve">m3/yr</t>
  </si>
  <si>
    <t xml:space="preserve">One shift ~2,000 h/yr</t>
  </si>
  <si>
    <t xml:space="preserve">output_steady_state</t>
  </si>
  <si>
    <t xml:space="preserve">A-TEC-24;A-MKT-32</t>
  </si>
  <si>
    <t xml:space="preserve">Brief base 70k. MKT SOM base is 60k: test 60k. NL avg plant 33.7k m3 (CMP-43)</t>
  </si>
  <si>
    <t xml:space="preserve">ramp_year1_pct_of_steady</t>
  </si>
  <si>
    <t xml:space="preserve">A-CST-01</t>
  </si>
  <si>
    <t xml:space="preserve">First full operating year; base 35k m3 (TEC section 8)</t>
  </si>
  <si>
    <t xml:space="preserve">ramp_year2_pct_of_steady</t>
  </si>
  <si>
    <t xml:space="preserve">base 55k m3</t>
  </si>
  <si>
    <t xml:space="preserve">ramp_year3plus_pct_of_steady</t>
  </si>
  <si>
    <t xml:space="preserve">base 70k m3 from year 3</t>
  </si>
  <si>
    <t xml:space="preserve">circular_share_of_volume</t>
  </si>
  <si>
    <t xml:space="preserve">A-TEC-44</t>
  </si>
  <si>
    <t xml:space="preserve">Rest = standard CEM III/B mixes</t>
  </si>
  <si>
    <t xml:space="preserve">public_share_of_sales</t>
  </si>
  <si>
    <t xml:space="preserve">A-MKT-24</t>
  </si>
  <si>
    <t xml:space="preserve">Public + housing corporations</t>
  </si>
  <si>
    <t xml:space="preserve">operating_days</t>
  </si>
  <si>
    <t xml:space="preserve">d/yr</t>
  </si>
  <si>
    <t xml:space="preserve">A-TEC-30</t>
  </si>
  <si>
    <t xml:space="preserve">capex_plant_equipment</t>
  </si>
  <si>
    <t xml:space="preserve">A-TEC-21;A-CST-02</t>
  </si>
  <si>
    <t xml:space="preserve">Batching plant, mixer, 6-8 bins (3 RCA), 4-5 silos, covered RCA store, sprinklers, moisture probes, lab, wash-water recycling</t>
  </si>
  <si>
    <t xml:space="preserve">cost</t>
  </si>
  <si>
    <t xml:space="preserve">capex_site_prep_civil</t>
  </si>
  <si>
    <t xml:space="preserve">Paving, foundations, drainage, grid connection, quay works. Sum with equipment+permits = 4.0/5.5/8.0 (brief)</t>
  </si>
  <si>
    <t xml:space="preserve">capex_permits_engineering</t>
  </si>
  <si>
    <t xml:space="preserve">A-CST-02</t>
  </si>
  <si>
    <t xml:space="preserve">Permits, AERIUS/noise studies, engineering, start-up. Amortise 10 yr</t>
  </si>
  <si>
    <t xml:space="preserve">capex_lca_epd_one_off</t>
  </si>
  <si>
    <t xml:space="preserve">A-TEC-47;A-CST-03</t>
  </si>
  <si>
    <t xml:space="preserve">4 product families x EUR 20k (10-40k)</t>
  </si>
  <si>
    <t xml:space="preserve">capex_preopening_costs</t>
  </si>
  <si>
    <t xml:space="preserve">A-CST-04</t>
  </si>
  <si>
    <t xml:space="preserve">Hiring before opening, trial mixes, initial type testing for KOMO</t>
  </si>
  <si>
    <t xml:space="preserve">capex_truck_mixers_option</t>
  </si>
  <si>
    <t xml:space="preserve">A-TEC-31</t>
  </si>
  <si>
    <t xml:space="preserve">Only if trucks bought (8 x EUR 135k); base = subcontracted</t>
  </si>
  <si>
    <t xml:space="preserve">land_purchase</t>
  </si>
  <si>
    <t xml:space="preserve">A-CST-05</t>
  </si>
  <si>
    <t xml:space="preserve">Land leased in base case</t>
  </si>
  <si>
    <t xml:space="preserve">lifetime_plant_equipment</t>
  </si>
  <si>
    <t xml:space="preserve">yr</t>
  </si>
  <si>
    <t xml:space="preserve">A-TEC-39</t>
  </si>
  <si>
    <t xml:space="preserve">lifetime_civil_works</t>
  </si>
  <si>
    <t xml:space="preserve">lifetime_permits_engineering</t>
  </si>
  <si>
    <t xml:space="preserve">salvage_value_yr10_pct_of_plant_civil_capex</t>
  </si>
  <si>
    <t xml:space="preserve">A-CST-06</t>
  </si>
  <si>
    <t xml:space="preserve">Terminal value = salvage only (plan 2.1). Used batching plants sell well below book value</t>
  </si>
  <si>
    <t xml:space="preserve">working_capital_receivable_days</t>
  </si>
  <si>
    <t xml:space="preserve">d</t>
  </si>
  <si>
    <t xml:space="preserve">A-CST-07</t>
  </si>
  <si>
    <t xml:space="preserve">Dutch construction payment practice; contractors pay slowly</t>
  </si>
  <si>
    <t xml:space="preserve">working_capital_payable_days</t>
  </si>
  <si>
    <t xml:space="preserve">Cement and aggregate suppliers</t>
  </si>
  <si>
    <t xml:space="preserve">working_capital_inventory_days</t>
  </si>
  <si>
    <t xml:space="preserve">Of raw material cost</t>
  </si>
  <si>
    <t xml:space="preserve">sustaining_capex_pct_of_capex</t>
  </si>
  <si>
    <t xml:space="preserve">A-CST-08</t>
  </si>
  <si>
    <t xml:space="preserve">On top of maintenance opex; mixer liners and wear parts are in maintenance</t>
  </si>
  <si>
    <t xml:space="preserve">mix_circ_binder</t>
  </si>
  <si>
    <t xml:space="preserve">kg/m3</t>
  </si>
  <si>
    <t xml:space="preserve">TEC-04;A-TEC-11;A-TEC-12;A-CST-09</t>
  </si>
  <si>
    <t xml:space="preserve">CEM III/B</t>
  </si>
  <si>
    <t xml:space="preserve">mix_circ_gravel</t>
  </si>
  <si>
    <t xml:space="preserve">Circular low = 30% RCA (V/V); base/high = 50% (CUR 112)</t>
  </si>
  <si>
    <t xml:space="preserve">mix_circ_rca_coarse</t>
  </si>
  <si>
    <t xml:space="preserve">Type A1 betongranulaat 4/16-4/22, SSD density ~2,450</t>
  </si>
  <si>
    <t xml:space="preserve">mix_circ_sand</t>
  </si>
  <si>
    <t xml:space="preserve">High-circular variant: 480 sand + 150 recycled sand</t>
  </si>
  <si>
    <t xml:space="preserve">mix_circ_rca_fine</t>
  </si>
  <si>
    <t xml:space="preserve">Recycled 0/4 only in high-circular variant (CROW-CUR 127)</t>
  </si>
  <si>
    <t xml:space="preserve">mix_circ_water_effective</t>
  </si>
  <si>
    <t xml:space="preserve">l/m3</t>
  </si>
  <si>
    <t xml:space="preserve">mix_circ_water_absorption</t>
  </si>
  <si>
    <t xml:space="preserve">A-TEC-12</t>
  </si>
  <si>
    <t xml:space="preserve">Pre-wetting/absorption water for RCA, not in w/c</t>
  </si>
  <si>
    <t xml:space="preserve">mix_circ_superplasticiser_pct_binder</t>
  </si>
  <si>
    <t xml:space="preserve">CST-12;A-TEC-13;A-CST-10</t>
  </si>
  <si>
    <t xml:space="preserve">Liquid PCE; circular = reference +0.2 pt (0-0.5)</t>
  </si>
  <si>
    <t xml:space="preserve">mix_conv_cem3b_binder</t>
  </si>
  <si>
    <t xml:space="preserve">VERIFIED</t>
  </si>
  <si>
    <t xml:space="preserve">TEC-04</t>
  </si>
  <si>
    <t xml:space="preserve">mix_conv_cem3b_gravel</t>
  </si>
  <si>
    <t xml:space="preserve">mix_conv_cem3b_rca_coarse</t>
  </si>
  <si>
    <t xml:space="preserve">mix_conv_cem3b_sand</t>
  </si>
  <si>
    <t xml:space="preserve">mix_conv_cem3b_rca_fine</t>
  </si>
  <si>
    <t xml:space="preserve">mix_conv_cem3b_water_effective</t>
  </si>
  <si>
    <t xml:space="preserve">mix_conv_cem3b_water_absorption</t>
  </si>
  <si>
    <t xml:space="preserve">mix_conv_cem3b_superplasticiser_pct_binder</t>
  </si>
  <si>
    <t xml:space="preserve">mix_conv_cem1_binder</t>
  </si>
  <si>
    <t xml:space="preserve">CEM I 52.5R. NMD reference</t>
  </si>
  <si>
    <t xml:space="preserve">mix_conv_cem1_gravel</t>
  </si>
  <si>
    <t xml:space="preserve">mix_conv_cem1_rca_coarse</t>
  </si>
  <si>
    <t xml:space="preserve">mix_conv_cem1_sand</t>
  </si>
  <si>
    <t xml:space="preserve">mix_conv_cem1_rca_fine</t>
  </si>
  <si>
    <t xml:space="preserve">mix_conv_cem1_water_effective</t>
  </si>
  <si>
    <t xml:space="preserve">mix_conv_cem1_water_absorption</t>
  </si>
  <si>
    <t xml:space="preserve">mix_conv_cem1_superplasticiser_pct_binder</t>
  </si>
  <si>
    <t xml:space="preserve">mix_plant_avg_binder_conv</t>
  </si>
  <si>
    <t xml:space="preserve">CMP-43;A-CST-11</t>
  </si>
  <si>
    <t xml:space="preserve">Plant average over all strength classes (NL avg cement ~310 kg/m3, ERMCO 2023). Use with avg price</t>
  </si>
  <si>
    <t xml:space="preserve">mix_plant_avg_binder_circ</t>
  </si>
  <si>
    <t xml:space="preserve">CMP-43;A-TEC-11</t>
  </si>
  <si>
    <t xml:space="preserve">Avg + 15 kg for RCA</t>
  </si>
  <si>
    <t xml:space="preserve">price_cem3b_2026_delivered</t>
  </si>
  <si>
    <t xml:space="preserve">EUR/t</t>
  </si>
  <si>
    <t xml:space="preserve">A-MKT-19;CST-14;CST-11;MKT-25;A-CST-12</t>
  </si>
  <si>
    <t xml:space="preserve">Bulk delivered, incl. 2026 carbon cost (~EUR 4/t). Raised from A-MKT-19 (105) after Argus/Sika evidence</t>
  </si>
  <si>
    <t xml:space="preserve">price_cem1_2026_delivered</t>
  </si>
  <si>
    <t xml:space="preserve">A-MKT-20;CST-14;CST-11;MKT-25;A-CST-12</t>
  </si>
  <si>
    <t xml:space="preserve">Incl. 2026 carbon cost (~EUR 14/t). Raised from A-MKT-20 (125)</t>
  </si>
  <si>
    <t xml:space="preserve">cement_carbon_passthrough</t>
  </si>
  <si>
    <t xml:space="preserve">A-POL-09</t>
  </si>
  <si>
    <t xml:space="preserve">cement_price(y) = price_2026 + passthrough x (carbon_cost(y) - carbon_cost(2026)), same path</t>
  </si>
  <si>
    <t xml:space="preserve">cem3b_slag_scarcity_uplift_2031plus</t>
  </si>
  <si>
    <t xml:space="preserve">A-POL-28;A-TEC-46</t>
  </si>
  <si>
    <t xml:space="preserve">Extra CEM III/B price from 2031 (Tata BF7 -&gt; DRI)</t>
  </si>
  <si>
    <t xml:space="preserve">concrete_price_passthrough_of_market_binder_cost</t>
  </si>
  <si>
    <t xml:space="preserve">A-CST-13</t>
  </si>
  <si>
    <t xml:space="preserve">Share of the market-wide CEM III/B cost increase passed into ready-mix prices (all producers face it)</t>
  </si>
  <si>
    <t xml:space="preserve">eua_price_2026</t>
  </si>
  <si>
    <t xml:space="preserve">EUR/tCO2</t>
  </si>
  <si>
    <t xml:space="preserve">A-POL-01;A-POL-02;A-POL-03;POL-44</t>
  </si>
  <si>
    <t xml:space="preserve">Interpolated between policy anchor years 2027/2030/2034</t>
  </si>
  <si>
    <t xml:space="preserve">eua_price_2027</t>
  </si>
  <si>
    <t xml:space="preserve">eua_price_2028</t>
  </si>
  <si>
    <t xml:space="preserve">eua_price_2029</t>
  </si>
  <si>
    <t xml:space="preserve">eua_price_2030</t>
  </si>
  <si>
    <t xml:space="preserve">eua_price_2031</t>
  </si>
  <si>
    <t xml:space="preserve">eua_price_2032</t>
  </si>
  <si>
    <t xml:space="preserve">eua_price_2033</t>
  </si>
  <si>
    <t xml:space="preserve">eua_price_2034</t>
  </si>
  <si>
    <t xml:space="preserve">eua_price_2035</t>
  </si>
  <si>
    <t xml:space="preserve">eua_price_2036</t>
  </si>
  <si>
    <t xml:space="preserve">carbon_cost_cem1_2026</t>
  </si>
  <si>
    <t xml:space="preserve">EUR/t cement</t>
  </si>
  <si>
    <t xml:space="preserve">POL-39;POL-41;POL-42;A-POL-05;A-POL-06;A-POL-07;A-POL-08</t>
  </si>
  <si>
    <t xml:space="preserve">CEM I: (intensity - 0.656 x CBAM factor) x EUA x clinker share. Base = current law; low = July-2026 proposal (end 2038) + low EUA; high = current law + high EUA</t>
  </si>
  <si>
    <t xml:space="preserve">carbon_cost_cem1_2027</t>
  </si>
  <si>
    <t xml:space="preserve">carbon_cost_cem1_2028</t>
  </si>
  <si>
    <t xml:space="preserve">carbon_cost_cem1_2029</t>
  </si>
  <si>
    <t xml:space="preserve">carbon_cost_cem1_2030</t>
  </si>
  <si>
    <t xml:space="preserve">carbon_cost_cem1_2031</t>
  </si>
  <si>
    <t xml:space="preserve">carbon_cost_cem1_2032</t>
  </si>
  <si>
    <t xml:space="preserve">carbon_cost_cem1_2033</t>
  </si>
  <si>
    <t xml:space="preserve">carbon_cost_cem1_2034</t>
  </si>
  <si>
    <t xml:space="preserve">carbon_cost_cem1_2035</t>
  </si>
  <si>
    <t xml:space="preserve">carbon_cost_cem1_2036</t>
  </si>
  <si>
    <t xml:space="preserve">carbon_cost_cem3b_2026</t>
  </si>
  <si>
    <t xml:space="preserve">CEM III/B: (intensity - 0.656 x CBAM factor) x EUA x clinker share. Base = current law; low = July-2026 proposal (end 2038) + low EUA; high = current law + high EUA</t>
  </si>
  <si>
    <t xml:space="preserve">carbon_cost_cem3b_2027</t>
  </si>
  <si>
    <t xml:space="preserve">carbon_cost_cem3b_2028</t>
  </si>
  <si>
    <t xml:space="preserve">carbon_cost_cem3b_2029</t>
  </si>
  <si>
    <t xml:space="preserve">carbon_cost_cem3b_2030</t>
  </si>
  <si>
    <t xml:space="preserve">carbon_cost_cem3b_2031</t>
  </si>
  <si>
    <t xml:space="preserve">carbon_cost_cem3b_2032</t>
  </si>
  <si>
    <t xml:space="preserve">carbon_cost_cem3b_2033</t>
  </si>
  <si>
    <t xml:space="preserve">carbon_cost_cem3b_2034</t>
  </si>
  <si>
    <t xml:space="preserve">carbon_cost_cem3b_2035</t>
  </si>
  <si>
    <t xml:space="preserve">carbon_cost_cem3b_2036</t>
  </si>
  <si>
    <t xml:space="preserve">price_gravel_delivered</t>
  </si>
  <si>
    <t xml:space="preserve">A-MKT-11</t>
  </si>
  <si>
    <t xml:space="preserve">By barge to waterside plant. Truck-fed site: +EUR 5-8/t</t>
  </si>
  <si>
    <t xml:space="preserve">price_sand_delivered</t>
  </si>
  <si>
    <t xml:space="preserve">A-MKT-12</t>
  </si>
  <si>
    <t xml:space="preserve">By barge</t>
  </si>
  <si>
    <t xml:space="preserve">price_rca_coarse_exworks</t>
  </si>
  <si>
    <t xml:space="preserve">A-MKT-13;MKT-20</t>
  </si>
  <si>
    <t xml:space="preserve">Certified BRL 2506-1 Type A1</t>
  </si>
  <si>
    <t xml:space="preserve">rca_transport_distance</t>
  </si>
  <si>
    <t xml:space="preserve">km</t>
  </si>
  <si>
    <t xml:space="preserve">A-CST-14</t>
  </si>
  <si>
    <t xml:space="preserve">Crusher to plant, one way, truck</t>
  </si>
  <si>
    <t xml:space="preserve">road_haulage_rate</t>
  </si>
  <si>
    <t xml:space="preserve">EUR/t.km</t>
  </si>
  <si>
    <t xml:space="preserve">A-TEC-32;TEC-41</t>
  </si>
  <si>
    <t xml:space="preserve">Full load per loaded km</t>
  </si>
  <si>
    <t xml:space="preserve">road_handling_per_t</t>
  </si>
  <si>
    <t xml:space="preserve">A-TEC-32</t>
  </si>
  <si>
    <t xml:space="preserve">price_rca_coarse_delivered</t>
  </si>
  <si>
    <t xml:space="preserve">derived</t>
  </si>
  <si>
    <t xml:space="preserve">'= ex-works + km x rate + handling. Breakeven vs gravel EUR 32: ~EUR 29/t delivered (before premium)</t>
  </si>
  <si>
    <t xml:space="preserve">barge_rate</t>
  </si>
  <si>
    <t xml:space="preserve">A-TEC-33;TEC-41</t>
  </si>
  <si>
    <t xml:space="preserve">Option: RCA from waterside crushers</t>
  </si>
  <si>
    <t xml:space="preserve">barge_transshipment_per_t</t>
  </si>
  <si>
    <t xml:space="preserve">A-TEC-33</t>
  </si>
  <si>
    <t xml:space="preserve">price_rca_fine_exworks</t>
  </si>
  <si>
    <t xml:space="preserve">A-CST-15</t>
  </si>
  <si>
    <t xml:space="preserve">Certified recycled 0/4; thin market</t>
  </si>
  <si>
    <t xml:space="preserve">price_superplasticiser</t>
  </si>
  <si>
    <t xml:space="preserve">EUR/kg</t>
  </si>
  <si>
    <t xml:space="preserve">CST-11;CST-13;A-CST-10</t>
  </si>
  <si>
    <t xml:space="preserve">Liquid PCE, bulk</t>
  </si>
  <si>
    <t xml:space="preserve">price_water</t>
  </si>
  <si>
    <t xml:space="preserve">EUR/m3</t>
  </si>
  <si>
    <t xml:space="preserve">A-CST-16</t>
  </si>
  <si>
    <t xml:space="preserve">Mains/ground water; part from recycled wash water</t>
  </si>
  <si>
    <t xml:space="preserve">rca_lot_testing</t>
  </si>
  <si>
    <t xml:space="preserve">EUR/t RCA</t>
  </si>
  <si>
    <t xml:space="preserve">A-CST-17</t>
  </si>
  <si>
    <t xml:space="preserve">Density/WA, EN 933-11, sulphate/chloride per ~500 t lot</t>
  </si>
  <si>
    <t xml:space="preserve">rca_handling_prewetting</t>
  </si>
  <si>
    <t xml:space="preserve">A-CST-18</t>
  </si>
  <si>
    <t xml:space="preserve">Separate bins per source, sprinkling, extra loader moves, moisture control</t>
  </si>
  <si>
    <t xml:space="preserve">electricity_use</t>
  </si>
  <si>
    <t xml:space="preserve">kWh/m3</t>
  </si>
  <si>
    <t xml:space="preserve">A-TEC-38;TEC-04</t>
  </si>
  <si>
    <t xml:space="preserve">NMD A3</t>
  </si>
  <si>
    <t xml:space="preserve">price_electricity</t>
  </si>
  <si>
    <t xml:space="preserve">EUR/kWh</t>
  </si>
  <si>
    <t xml:space="preserve">CST-04;CST-05</t>
  </si>
  <si>
    <t xml:space="preserve">CBS 2026-H1 non-household 500-2000 MWh EUR 0.245 incl. VAT and tax -&gt; ~0.20 excl. VAT</t>
  </si>
  <si>
    <t xml:space="preserve">diesel_use_plant</t>
  </si>
  <si>
    <t xml:space="preserve">A-TEC-38;TEC-83</t>
  </si>
  <si>
    <t xml:space="preserve">Loader + heating; high incl. winter heating oil</t>
  </si>
  <si>
    <t xml:space="preserve">price_diesel</t>
  </si>
  <si>
    <t xml:space="preserve">EUR/l</t>
  </si>
  <si>
    <t xml:space="preserve">A-CST-19</t>
  </si>
  <si>
    <t xml:space="preserve">Excl. VAT, bulk</t>
  </si>
  <si>
    <t xml:space="preserve">staff_production_fte</t>
  </si>
  <si>
    <t xml:space="preserve">FTE</t>
  </si>
  <si>
    <t xml:space="preserve">A-TEC-25;A-CST-20</t>
  </si>
  <si>
    <t xml:space="preserve">Batchers 2, loader 2, lab 1.5, maintenance 1, ~0.5 plant mgmt</t>
  </si>
  <si>
    <t xml:space="preserve">cost_per_fte_production</t>
  </si>
  <si>
    <t xml:space="preserve">EUR/yr</t>
  </si>
  <si>
    <t xml:space="preserve">CST-06;CST-07;A-CST-21</t>
  </si>
  <si>
    <t xml:space="preserve">CAO Mortelbedrijven 2026 garantieloon EUR 3,394-3,770/month; x12 x1.08 holiday x~1.3 employer cost + overtime/shift</t>
  </si>
  <si>
    <t xml:space="preserve">staff_sga_fte</t>
  </si>
  <si>
    <t xml:space="preserve">Manager, sales/technical sales, planner/admin</t>
  </si>
  <si>
    <t xml:space="preserve">cost_per_fte_sga</t>
  </si>
  <si>
    <t xml:space="preserve">A-CST-21</t>
  </si>
  <si>
    <t xml:space="preserve">real_wage_growth</t>
  </si>
  <si>
    <t xml:space="preserve">CST-07</t>
  </si>
  <si>
    <t xml:space="preserve">CBS: real cao wage +0.8% (Q3 2026)</t>
  </si>
  <si>
    <t xml:space="preserve">maintenance_pct_of_capex</t>
  </si>
  <si>
    <t xml:space="preserve">A-CST-22</t>
  </si>
  <si>
    <t xml:space="preserve">On plant equipment + civil; incl. mixer liners/blades (TEC-57)</t>
  </si>
  <si>
    <t xml:space="preserve">certification_testing_fixed</t>
  </si>
  <si>
    <t xml:space="preserve">CST-20;CST-03;CST-21;A-CST-23</t>
  </si>
  <si>
    <t xml:space="preserve">KOMO BRL 1801 audits, CSC, NMD fees, external cube/lab tests, LCA updates</t>
  </si>
  <si>
    <t xml:space="preserve">site_area</t>
  </si>
  <si>
    <t xml:space="preserve">m2</t>
  </si>
  <si>
    <t xml:space="preserve">A-TEC-22</t>
  </si>
  <si>
    <t xml:space="preserve">site_lease_rate</t>
  </si>
  <si>
    <t xml:space="preserve">EUR/m2/yr</t>
  </si>
  <si>
    <t xml:space="preserve">CST-09;CST-10;A-CST-24</t>
  </si>
  <si>
    <t xml:space="preserve">Rotterdam erfpacht canon 3.81% x ground value ~EUR 150-300/m2; waterside premium</t>
  </si>
  <si>
    <t xml:space="preserve">sga_fixed_non_staff</t>
  </si>
  <si>
    <t xml:space="preserve">A-CST-25</t>
  </si>
  <si>
    <t xml:space="preserve">Insurance, ERP/dispatch IT, audit, legal, marketing, vehicles, office</t>
  </si>
  <si>
    <t xml:space="preserve">bad_debt_pct_revenue</t>
  </si>
  <si>
    <t xml:space="preserve">A-CST-26</t>
  </si>
  <si>
    <t xml:space="preserve">delivery_fixed_per_m3</t>
  </si>
  <si>
    <t xml:space="preserve">A-TEC-28</t>
  </si>
  <si>
    <t xml:space="preserve">Subcontracted truck mixers; check: EUR 110/h, 10 m3, 50 min fixed, 45 km/h -&gt; EUR 18.9/m3 at 20 km</t>
  </si>
  <si>
    <t xml:space="preserve">delivery_variable_per_km_oneway</t>
  </si>
  <si>
    <t xml:space="preserve">EUR/m3/km</t>
  </si>
  <si>
    <t xml:space="preserve">delivery_avg_distance_oneway</t>
  </si>
  <si>
    <t xml:space="preserve">A-TEC-29;A-CST-27</t>
  </si>
  <si>
    <t xml:space="preserve">Mean distance in a 30 km disc = 2R/3 = 20 km</t>
  </si>
  <si>
    <t xml:space="preserve">delivery_radius_max</t>
  </si>
  <si>
    <t xml:space="preserve">A-CMP-11</t>
  </si>
  <si>
    <t xml:space="preserve">Open time 1.5-2 h</t>
  </si>
  <si>
    <t xml:space="preserve">truck_mixer_hourly_cost</t>
  </si>
  <si>
    <t xml:space="preserve">EUR/h</t>
  </si>
  <si>
    <t xml:space="preserve">A-TEC-27</t>
  </si>
  <si>
    <t xml:space="preserve">price_c30_37_project_delivered</t>
  </si>
  <si>
    <t xml:space="preserve">A-MKT-18;MKT-27</t>
  </si>
  <si>
    <t xml:space="preserve">Standard CEM III/B, incl. delivery. List ~212.5 (MKT-24)</t>
  </si>
  <si>
    <t xml:space="preserve">price_plant_avg_all_classes</t>
  </si>
  <si>
    <t xml:space="preserve">A-MKT-16;MKT-27</t>
  </si>
  <si>
    <t xml:space="preserve">USE THIS for the plant P&amp;L together with mix_plant_avg_binder</t>
  </si>
  <si>
    <t xml:space="preserve">price_list_c30_37</t>
  </si>
  <si>
    <t xml:space="preserve">A-CMP-16;MKT-24</t>
  </si>
  <si>
    <t xml:space="preserve">Reference only; project price ~68% of list</t>
  </si>
  <si>
    <t xml:space="preserve">green_premium_public</t>
  </si>
  <si>
    <t xml:space="preserve">% of price</t>
  </si>
  <si>
    <t xml:space="preserve">A-MKT-25</t>
  </si>
  <si>
    <t xml:space="preserve">Circular volume only. This is the ONLY premium line to add</t>
  </si>
  <si>
    <t xml:space="preserve">green_premium_private</t>
  </si>
  <si>
    <t xml:space="preserve">A-MKT-26</t>
  </si>
  <si>
    <t xml:space="preserve">Circular volume only</t>
  </si>
  <si>
    <t xml:space="preserve">recycled_surcharge_list_evidence</t>
  </si>
  <si>
    <t xml:space="preserve">MKT-25;MKT-24</t>
  </si>
  <si>
    <t xml:space="preserve">Heidelberg R30/R50/R100 list surcharges; Holcim +4 (&lt;=30%). Evidence/cross-check - NOT additive</t>
  </si>
  <si>
    <t xml:space="preserve">mki_value_to_supplier</t>
  </si>
  <si>
    <t xml:space="preserve">A-POL-10;A-POL-11;A-POL-12;A-CST-28</t>
  </si>
  <si>
    <t xml:space="preserve">vs CEM III/B competitor ~0-1; vs ceiling-level competitor 3.4. Already inside green_premium_public - NOT additive</t>
  </si>
  <si>
    <t xml:space="preserve">mki_tender_share_of_public_volume</t>
  </si>
  <si>
    <t xml:space="preserve">A-POL-14</t>
  </si>
  <si>
    <t xml:space="preserve">price_real_escalation</t>
  </si>
  <si>
    <t xml:space="preserve">A-MKT-34;A-CST-13</t>
  </si>
  <si>
    <t xml:space="preserve">Excl. binder carbon pass-through above</t>
  </si>
  <si>
    <t xml:space="preserve">gwp_cem3b</t>
  </si>
  <si>
    <t xml:space="preserve">kgCO2e/t</t>
  </si>
  <si>
    <t xml:space="preserve">A-TEC-15;CMP-27;POL-01;A-CST-29</t>
  </si>
  <si>
    <t xml:space="preserve">Mebin 87 kg/m3 @300 kg -&gt; 290; TEC base 320</t>
  </si>
  <si>
    <t xml:space="preserve">gwp_cem1</t>
  </si>
  <si>
    <t xml:space="preserve">A-TEC-14;CMP-27</t>
  </si>
  <si>
    <t xml:space="preserve">gwp_other_per_m3_conv</t>
  </si>
  <si>
    <t xml:space="preserve">kgCO2e/m3</t>
  </si>
  <si>
    <t xml:space="preserve">POL-01;A-TEC-16</t>
  </si>
  <si>
    <t xml:space="preserve">Betonakkoord: ~30 kg for sand, gravel incl. transport and cement transport</t>
  </si>
  <si>
    <t xml:space="preserve">gwp_other_per_m3_circ</t>
  </si>
  <si>
    <t xml:space="preserve">A-TEC-17;A-CMP-05</t>
  </si>
  <si>
    <t xml:space="preserve">RCA burden-free, trucked 30 km</t>
  </si>
  <si>
    <t xml:space="preserve">co2_per_m3_conv_cem3b</t>
  </si>
  <si>
    <t xml:space="preserve">330 x 0.300 + 30</t>
  </si>
  <si>
    <t xml:space="preserve">co2_per_m3_circ</t>
  </si>
  <si>
    <t xml:space="preserve">345 x 0.300 + 28 (no lower than conv: extra cement)</t>
  </si>
  <si>
    <t xml:space="preserve">co2_per_m3_conv_cem1</t>
  </si>
  <si>
    <t xml:space="preserve">320 x 0.800 + 30</t>
  </si>
  <si>
    <t xml:space="preserve">mki_per_m3_conv_cem3b_betonakkoord_basis</t>
  </si>
  <si>
    <t xml:space="preserve">POL-01;A-CST-29</t>
  </si>
  <si>
    <t xml:space="preserve">MKI ~ 1.10 + 0.058 x kg CO2 (fit to Betonakkoord tables)</t>
  </si>
  <si>
    <t xml:space="preserve">mki_per_m3_circ_betonakkoord_basis</t>
  </si>
  <si>
    <t xml:space="preserve">incl. -0.2 aggregate-depletion credit</t>
  </si>
  <si>
    <t xml:space="preserve">mki_per_m3_conv_cem1_betonakkoord_basis</t>
  </si>
  <si>
    <t xml:space="preserve">mki_a2_set_multiplier</t>
  </si>
  <si>
    <t xml:space="preserve">A-TEC-18;TEC-05</t>
  </si>
  <si>
    <t xml:space="preserve">For 2027+ RWS tenders and MPG</t>
  </si>
  <si>
    <t xml:space="preserve">nmd_cat3_surcharge</t>
  </si>
  <si>
    <t xml:space="preserve">CST-01</t>
  </si>
  <si>
    <t xml:space="preserve">Generic NMD data x1.3 -&gt; own cat-1 LCA needed</t>
  </si>
  <si>
    <t xml:space="preserve">hybrid_rubble_needed</t>
  </si>
  <si>
    <t xml:space="preserve">t/yr</t>
  </si>
  <si>
    <t xml:space="preserve">RCA need / coarse yield: 0.56 t x 42k m3 / 0.58</t>
  </si>
  <si>
    <t xml:space="preserve">hybrid_crusher_capex_mobile</t>
  </si>
  <si>
    <t xml:space="preserve">A-TEC-40</t>
  </si>
  <si>
    <t xml:space="preserve">hybrid_crusher_capex_stationary_highgrade</t>
  </si>
  <si>
    <t xml:space="preserve">A-TEC-41;TEC-74</t>
  </si>
  <si>
    <t xml:space="preserve">300-450 kt/yr</t>
  </si>
  <si>
    <t xml:space="preserve">hybrid_crusher_capex_advanced</t>
  </si>
  <si>
    <t xml:space="preserve">A-TEC-42</t>
  </si>
  <si>
    <t xml:space="preserve">~100 kt/yr</t>
  </si>
  <si>
    <t xml:space="preserve">hybrid_crusher_lifetime</t>
  </si>
  <si>
    <t xml:space="preserve">hybrid_gate_fee_received</t>
  </si>
  <si>
    <t xml:space="preserve">EUR/t rubble</t>
  </si>
  <si>
    <t xml:space="preserve">A-MKT-15;MKT-20;MKT-23</t>
  </si>
  <si>
    <t xml:space="preserve">Clean concrete rubble, bulk</t>
  </si>
  <si>
    <t xml:space="preserve">hybrid_yield_coarse</t>
  </si>
  <si>
    <t xml:space="preserve">% of input</t>
  </si>
  <si>
    <t xml:space="preserve">A-TEC-01</t>
  </si>
  <si>
    <t xml:space="preserve">hybrid_yield_sand_0_4</t>
  </si>
  <si>
    <t xml:space="preserve">A-TEC-02</t>
  </si>
  <si>
    <t xml:space="preserve">hybrid_yield_steel</t>
  </si>
  <si>
    <t xml:space="preserve">A-TEC-03</t>
  </si>
  <si>
    <t xml:space="preserve">hybrid_yield_contaminants</t>
  </si>
  <si>
    <t xml:space="preserve">A-TEC-04</t>
  </si>
  <si>
    <t xml:space="preserve">hybrid_value_coarse_internal</t>
  </si>
  <si>
    <t xml:space="preserve">'= avoided delivered RCA price if co-located</t>
  </si>
  <si>
    <t xml:space="preserve">hybrid_price_crusher_sand</t>
  </si>
  <si>
    <t xml:space="preserve">A-MKT-14;A-CST-31</t>
  </si>
  <si>
    <t xml:space="preserve">Sold as fill/road base; concrete use needs CUR 127</t>
  </si>
  <si>
    <t xml:space="preserve">hybrid_price_steel_scrap</t>
  </si>
  <si>
    <t xml:space="preserve">CST-16;CST-17;CST-18;A-CST-32</t>
  </si>
  <si>
    <t xml:space="preserve">Yard prices HMS EUR 150-240/t; rebar from rubble lower</t>
  </si>
  <si>
    <t xml:space="preserve">hybrid_cost_contaminant_disposal</t>
  </si>
  <si>
    <t xml:space="preserve">POL-50;POL-51;A-CST-33</t>
  </si>
  <si>
    <t xml:space="preserve">Incl. landfill/incineration tax EUR 40.85 (2026) -&gt; 81 (2030)</t>
  </si>
  <si>
    <t xml:space="preserve">hybrid_crusher_diesel</t>
  </si>
  <si>
    <t xml:space="preserve">l/t</t>
  </si>
  <si>
    <t xml:space="preserve">A-TEC-08</t>
  </si>
  <si>
    <t xml:space="preserve">hybrid_crusher_wear</t>
  </si>
  <si>
    <t xml:space="preserve">A-TEC-43</t>
  </si>
  <si>
    <t xml:space="preserve">hybrid_crusher_staff_fte</t>
  </si>
  <si>
    <t xml:space="preserve">A-CST-34</t>
  </si>
  <si>
    <t xml:space="preserve">hybrid_crusher_maintenance_pct_capex</t>
  </si>
  <si>
    <t xml:space="preserve">hybrid_brl2506_certification</t>
  </si>
  <si>
    <t xml:space="preserve">KOMO BRL 2506-1 + NL-BSB</t>
  </si>
  <si>
    <t xml:space="preserve">hybrid_extra_site_area</t>
  </si>
  <si>
    <t xml:space="preserve">hybrid_permit_lead_time</t>
  </si>
  <si>
    <t xml:space="preserve">months</t>
  </si>
  <si>
    <t xml:space="preserve">A-POL-20</t>
  </si>
  <si>
    <t xml:space="preserve">Option hooks (not in inputs.csv; 0 = no effect)</t>
  </si>
  <si>
    <t xml:space="preserve">opt_extra_capex_y0</t>
  </si>
  <si>
    <t xml:space="preserve">MODEL HOOK</t>
  </si>
  <si>
    <t xml:space="preserve">model</t>
  </si>
  <si>
    <t xml:space="preserve">Extra initial capex in 2026 (depreciated over plant-equipment life; no salvage)</t>
  </si>
  <si>
    <t xml:space="preserve">opt_extra_revenue_per_yr</t>
  </si>
  <si>
    <t xml:space="preserve">Extra revenue every operating year (e.g. by-product sales)</t>
  </si>
  <si>
    <t xml:space="preserve">opt_extra_opex_per_yr</t>
  </si>
  <si>
    <t xml:space="preserve">Extra fixed opex every operating year</t>
  </si>
  <si>
    <t xml:space="preserve">opt_price_delta_per_m3</t>
  </si>
  <si>
    <t xml:space="preserve">Price change on ALL concrete sold (e.g. extra premium)</t>
  </si>
  <si>
    <t xml:space="preserve">opt_cost_delta_per_m3</t>
  </si>
  <si>
    <t xml:space="preserve">Variable cost change on ALL concrete sold (negative = saving)</t>
  </si>
  <si>
    <t xml:space="preserve">opt_start_delay</t>
  </si>
  <si>
    <t xml:space="preserve">Delay of first sales in years (0 = 2027, 1 = 2028). Permits/engineering stay in 2026; plant capex, start-up costs, grant and MIA move to the year before first sales</t>
  </si>
  <si>
    <t xml:space="preserve">opt_crusher_on</t>
  </si>
  <si>
    <t xml:space="preserve">0/1</t>
  </si>
  <si>
    <t xml:space="preserve">Option A+B: on-site rubble acceptance + crushing line (uses the hybrid_* inputs)</t>
  </si>
  <si>
    <t xml:space="preserve">opt_crusher_start_year</t>
  </si>
  <si>
    <t xml:space="preserve">year</t>
  </si>
  <si>
    <t xml:space="preserve">First calendar year of crushing (waste-processing permit)</t>
  </si>
  <si>
    <t xml:space="preserve">opt_rubble_intake_tpy</t>
  </si>
  <si>
    <t xml:space="preserve">Rubble intake at full plant output (scales with the ramp-up)</t>
  </si>
  <si>
    <t xml:space="preserve">opt_crusher_capex</t>
  </si>
  <si>
    <t xml:space="preserve">Crushing-line capex, spent the year before crushing starts; depreciated over hybrid_crusher_lifetime</t>
  </si>
  <si>
    <t xml:space="preserve">opt_crusher_contract_rate</t>
  </si>
  <si>
    <t xml:space="preserve">Contract (campaign) crushing rate per t rubble, when crushing is outsourced</t>
  </si>
  <si>
    <t xml:space="preserve">opt_crusher_salvage_pct</t>
  </si>
  <si>
    <t xml:space="preserve">Salvage value of the crushing-line capex in 2036</t>
  </si>
  <si>
    <t xml:space="preserve">opt_crusher_mia_share_pct</t>
  </si>
  <si>
    <t xml:space="preserve">Share of crushing-line capex eligible for MIA (A 1401 recycling equipment)</t>
  </si>
  <si>
    <t xml:space="preserve">opt_circ_price_delta_per_m3</t>
  </si>
  <si>
    <t xml:space="preserve">Extra price on CIRCULAR volume only, from opt_circ_delta_start_year (e.g. MKI value of a lower-CO2 binder)</t>
  </si>
  <si>
    <t xml:space="preserve">opt_circ_cost_delta_per_m3</t>
  </si>
  <si>
    <t xml:space="preserve">Extra variable cost on CIRCULAR volume only, from opt_circ_delta_start_year</t>
  </si>
  <si>
    <t xml:space="preserve">opt_circ_delta_start_year</t>
  </si>
  <si>
    <t xml:space="preserve">First calendar year of the two circular-only deltas</t>
  </si>
  <si>
    <t xml:space="preserve">Unit economics - EUR per m3 delivered, circular vs standard (conventional) mix in the same plant</t>
  </si>
  <si>
    <t xml:space="preserve">Year index shown (1..10; 3 = 2029, first full-output year)</t>
  </si>
  <si>
    <t xml:space="preserve">Fixed costs are spread equally over all m3 of that year. Delivery is subcontracted.</t>
  </si>
  <si>
    <t xml:space="preserve">Line (EUR/m3)</t>
  </si>
  <si>
    <t xml:space="preserve">Circular</t>
  </si>
  <si>
    <t xml:space="preserve">Standard CEM III/B</t>
  </si>
  <si>
    <t xml:space="preserve">Plant average</t>
  </si>
  <si>
    <t xml:space="preserve">Circular - standard</t>
  </si>
  <si>
    <t xml:space="preserve">Price (delivered)</t>
  </si>
  <si>
    <t xml:space="preserve">Cement</t>
  </si>
  <si>
    <t xml:space="preserve">Gravel</t>
  </si>
  <si>
    <t xml:space="preserve">Recycled aggregate (delivered)</t>
  </si>
  <si>
    <t xml:space="preserve">Sand</t>
  </si>
  <si>
    <t xml:space="preserve">Admixture (superplasticiser)</t>
  </si>
  <si>
    <t xml:space="preserve">Water</t>
  </si>
  <si>
    <t xml:space="preserve">RCA testing &amp; handling</t>
  </si>
  <si>
    <t xml:space="preserve">Energy</t>
  </si>
  <si>
    <t xml:space="preserve">Variable cost delta (hook)</t>
  </si>
  <si>
    <t xml:space="preserve">Circular-only cost delta (option)</t>
  </si>
  <si>
    <t xml:space="preserve">On-site crushing net cost per m3 (negative = net income, option A+B)</t>
  </si>
  <si>
    <t xml:space="preserve">Production labour</t>
  </si>
  <si>
    <t xml:space="preserve">Maintenance &amp; wear</t>
  </si>
  <si>
    <t xml:space="preserve">Certification &amp; testing</t>
  </si>
  <si>
    <t xml:space="preserve">Site lease</t>
  </si>
  <si>
    <t xml:space="preserve">SG&amp;A staff</t>
  </si>
  <si>
    <t xml:space="preserve">SG&amp;A non-staff</t>
  </si>
  <si>
    <t xml:space="preserve">Extra fixed (hook)</t>
  </si>
  <si>
    <t xml:space="preserve">Delivery (truck mixer)</t>
  </si>
  <si>
    <t xml:space="preserve">Bad debt</t>
  </si>
  <si>
    <t xml:space="preserve">Cash cost (before depreciation)</t>
  </si>
  <si>
    <t xml:space="preserve">EBITDA margin</t>
  </si>
  <si>
    <t xml:space="preserve">Depreciation &amp; amortisation</t>
  </si>
  <si>
    <t xml:space="preserve">Total cost incl. depreciation</t>
  </si>
  <si>
    <t xml:space="preserve">EBIT margin</t>
  </si>
  <si>
    <t xml:space="preserve">Memo: capital recovery charge (10 yr annuity at r)</t>
  </si>
  <si>
    <t xml:space="preserve">Memo: EBITDA margin after capital charge</t>
  </si>
  <si>
    <t xml:space="preserve">Check: plant-average EBITDA x volume - P&amp;L EBITDA (0 unless hook revenue)</t>
  </si>
  <si>
    <t xml:space="preserve">EBITDA margin as % of price</t>
  </si>
  <si>
    <t xml:space="preserve">Capex, one-off start-up costs, grant, depreciation, salvage (EUR, real 2026)</t>
  </si>
  <si>
    <t xml:space="preserve">t=0 (2026) = permitting &amp; construction year. All initial spend in t=0.</t>
  </si>
  <si>
    <t xml:space="preserve">Year</t>
  </si>
  <si>
    <t xml:space="preserve">t (year index)</t>
  </si>
  <si>
    <t xml:space="preserve">Initial investment (t = 0)</t>
  </si>
  <si>
    <t xml:space="preserve">Plant equipment (batching plant, mixer, bins, silos, lab) - in build year (2026 + delay)</t>
  </si>
  <si>
    <t xml:space="preserve">Site preparation &amp; civil works - in build year</t>
  </si>
  <si>
    <t xml:space="preserve">Permits, studies, engineering (amortised) - always 2026</t>
  </si>
  <si>
    <t xml:space="preserve">Option hook: extra capex - in build year</t>
  </si>
  <si>
    <t xml:space="preserve">Land purchase (0 = leased) - in build year</t>
  </si>
  <si>
    <t xml:space="preserve">Option A+B: year index of crushing-line capex (year before first crushing)</t>
  </si>
  <si>
    <t xml:space="preserve">t</t>
  </si>
  <si>
    <t xml:space="preserve">Option A+B: crushing-line capex</t>
  </si>
  <si>
    <t xml:space="preserve">Total initial capex</t>
  </si>
  <si>
    <t xml:space="preserve">Physical assets (plant + civil) - base for maintenance, sustaining capex, salvage</t>
  </si>
  <si>
    <t xml:space="preserve">One-off items in t = 0 (expensed / income, not capex)</t>
  </si>
  <si>
    <t xml:space="preserve">Start-up costs expensed: LCA/EPD + pre-opening (build year)</t>
  </si>
  <si>
    <t xml:space="preserve">Grant DEI+/VEKI (taxable income in build year)</t>
  </si>
  <si>
    <t xml:space="preserve">MIA extra tax deduction (gives the stated net value at top rate); plant in build year, crusher in its capex year</t>
  </si>
  <si>
    <t xml:space="preserve">Sustaining capex and depreciation</t>
  </si>
  <si>
    <t xml:space="preserve">Sustaining capex (% of physical assets per operating year)</t>
  </si>
  <si>
    <t xml:space="preserve">Depreciation plant equipment (+ hook capex), from first operating year</t>
  </si>
  <si>
    <t xml:space="preserve">Depreciation civil works</t>
  </si>
  <si>
    <t xml:space="preserve">Amortisation permits &amp; engineering</t>
  </si>
  <si>
    <t xml:space="preserve">Depreciation crushing line (option A+B)</t>
  </si>
  <si>
    <t xml:space="preserve">Depreciation sustaining capex (plant life)</t>
  </si>
  <si>
    <t xml:space="preserve">Total depreciation &amp; amortisation</t>
  </si>
  <si>
    <t xml:space="preserve">Memo: net book value end of year (excl. land)</t>
  </si>
  <si>
    <t xml:space="preserve">Salvage value in t=10 (= the ONLY terminal value; plant+civil and crushing line)</t>
  </si>
  <si>
    <t xml:space="preserve">Volume, prices and revenue</t>
  </si>
  <si>
    <t xml:space="preserve">Plant-average price over all strength classes (Agent 5). Premium only on circular volume.</t>
  </si>
  <si>
    <t xml:space="preserve">Volume</t>
  </si>
  <si>
    <t xml:space="preserve">Utilisation of steady-state output (ramp-up)</t>
  </si>
  <si>
    <t xml:space="preserve">Volume sold</t>
  </si>
  <si>
    <t xml:space="preserve">m3</t>
  </si>
  <si>
    <t xml:space="preserve">  of which circular mixes (50% coarse RCA)</t>
  </si>
  <si>
    <t xml:space="preserve">  of which standard CEM III/B mixes</t>
  </si>
  <si>
    <t xml:space="preserve">Cement price path (CEM III/B, delivered)</t>
  </si>
  <si>
    <t xml:space="preserve">Carbon cost in CEM III/B price (ETS/CBAM)</t>
  </si>
  <si>
    <t xml:space="preserve">Slag-scarcity uplift from 2031</t>
  </si>
  <si>
    <t xml:space="preserve">CEM III/B price</t>
  </si>
  <si>
    <t xml:space="preserve">Market-wide binder cost increase vs 2026 (avg mix)</t>
  </si>
  <si>
    <t xml:space="preserve">Prices (delivered, plant average)</t>
  </si>
  <si>
    <t xml:space="preserve">Market price, plant average (incl. pass-through of binder cost)</t>
  </si>
  <si>
    <t xml:space="preserve">Blended green premium on circular volume</t>
  </si>
  <si>
    <t xml:space="preserve">Price circular mixes (+ option: circular-only delta from its start year)</t>
  </si>
  <si>
    <t xml:space="preserve">Price standard mixes</t>
  </si>
  <si>
    <t xml:space="preserve">Revenue</t>
  </si>
  <si>
    <t xml:space="preserve">Revenue circular mixes</t>
  </si>
  <si>
    <t xml:space="preserve">Revenue standard mixes</t>
  </si>
  <si>
    <t xml:space="preserve">Option hook: extra revenue</t>
  </si>
  <si>
    <t xml:space="preserve">Option A+B: on-site rubble acceptance and crushing (0 unless opt_crusher_on = 1)</t>
  </si>
  <si>
    <t xml:space="preserve">Crushing active (operating year and &gt;= crusher start year)</t>
  </si>
  <si>
    <t xml:space="preserve">Rubble intake (scales with ramp-up)</t>
  </si>
  <si>
    <t xml:space="preserve">Coarse RCA produced</t>
  </si>
  <si>
    <t xml:space="preserve">Coarse RCA needed by the plant</t>
  </si>
  <si>
    <t xml:space="preserve">Own RCA used in the plant (replaces purchased RCA)</t>
  </si>
  <si>
    <t xml:space="preserve">Surplus coarse RCA sold ex-works</t>
  </si>
  <si>
    <t xml:space="preserve">Gate fee received</t>
  </si>
  <si>
    <t xml:space="preserve">Crusher sand 0/4 sold</t>
  </si>
  <si>
    <t xml:space="preserve">Steel scrap sold</t>
  </si>
  <si>
    <t xml:space="preserve">Surplus RCA sold (at RCA ex-works price)</t>
  </si>
  <si>
    <t xml:space="preserve">Revenue on-site crushing</t>
  </si>
  <si>
    <t xml:space="preserve">Total revenue</t>
  </si>
  <si>
    <t xml:space="preserve">Memo: average realised price</t>
  </si>
  <si>
    <t xml:space="preserve">Operating costs (EUR, real 2026)</t>
  </si>
  <si>
    <t xml:space="preserve">Materials priced per m3 from the recipes; fixed costs from operating year 1.</t>
  </si>
  <si>
    <t xml:space="preserve">Unit inputs</t>
  </si>
  <si>
    <t xml:space="preserve">RCA coarse delivered = ex-works + km x rate + handling</t>
  </si>
  <si>
    <t xml:space="preserve">RCA lot testing + handling/pre-wetting (circular only)</t>
  </si>
  <si>
    <t xml:space="preserve">Energy (electricity + diesel)</t>
  </si>
  <si>
    <t xml:space="preserve">Delivery by subcontracted truck mixer</t>
  </si>
  <si>
    <t xml:space="preserve">Raw materials per m3 - CIRCULAR mix (plant-average binder)</t>
  </si>
  <si>
    <t xml:space="preserve">Cement CEM III/B</t>
  </si>
  <si>
    <t xml:space="preserve">Recycled aggregate (coarse delivered + fine ex-works)</t>
  </si>
  <si>
    <t xml:space="preserve">Superplasticiser</t>
  </si>
  <si>
    <t xml:space="preserve">Water (effective + absorption)</t>
  </si>
  <si>
    <t xml:space="preserve">Raw materials circular</t>
  </si>
  <si>
    <t xml:space="preserve">Raw materials per m3 - STANDARD CEM III/B mix</t>
  </si>
  <si>
    <t xml:space="preserve">Recycled aggregate</t>
  </si>
  <si>
    <t xml:space="preserve">Raw materials standard</t>
  </si>
  <si>
    <t xml:space="preserve">Indices</t>
  </si>
  <si>
    <t xml:space="preserve">Operating year flag</t>
  </si>
  <si>
    <t xml:space="preserve">Real wage index</t>
  </si>
  <si>
    <t xml:space="preserve">Variable costs (EUR/yr)</t>
  </si>
  <si>
    <t xml:space="preserve">Raw materials</t>
  </si>
  <si>
    <t xml:space="preserve">Delivery (truck mixers)</t>
  </si>
  <si>
    <t xml:space="preserve">Option hook: variable cost delta</t>
  </si>
  <si>
    <t xml:space="preserve">Option: circular-only variable cost delta (from its start year)</t>
  </si>
  <si>
    <t xml:space="preserve">A+B: own RCA replaces purchased RCA (credit)</t>
  </si>
  <si>
    <t xml:space="preserve">A+B: contaminant disposal</t>
  </si>
  <si>
    <t xml:space="preserve">A+B: crusher diesel</t>
  </si>
  <si>
    <t xml:space="preserve">A+B: crusher wear</t>
  </si>
  <si>
    <t xml:space="preserve">A+B: contract crushing</t>
  </si>
  <si>
    <t xml:space="preserve">Total variable costs</t>
  </si>
  <si>
    <t xml:space="preserve">Fixed costs (EUR/yr, from year 1)</t>
  </si>
  <si>
    <t xml:space="preserve">Production staff</t>
  </si>
  <si>
    <t xml:space="preserve">Certification &amp; testing (KOMO, CSC, NMD)</t>
  </si>
  <si>
    <t xml:space="preserve">Option hook: extra fixed opex</t>
  </si>
  <si>
    <t xml:space="preserve">A+B: crushing staff</t>
  </si>
  <si>
    <t xml:space="preserve">A+B: crusher maintenance</t>
  </si>
  <si>
    <t xml:space="preserve">A+B: BRL 2506 certification</t>
  </si>
  <si>
    <t xml:space="preserve">A+B: extra site area lease</t>
  </si>
  <si>
    <t xml:space="preserve">Total fixed costs</t>
  </si>
  <si>
    <t xml:space="preserve">One-off start-up costs (t=0)</t>
  </si>
  <si>
    <t xml:space="preserve">TOTAL OPERATING COSTS</t>
  </si>
  <si>
    <t xml:space="preserve">Option A+B memo</t>
  </si>
  <si>
    <t xml:space="preserve">A+B variable costs (incl. RCA credit)</t>
  </si>
  <si>
    <t xml:space="preserve">A+B fixed costs</t>
  </si>
  <si>
    <t xml:space="preserve">A+B net contribution (revenue - costs, incl. RCA credit; before bad debt)</t>
  </si>
  <si>
    <t xml:space="preserve">Profit &amp; loss (EUR, real 2026)</t>
  </si>
  <si>
    <t xml:space="preserve">Unlevered: no debt, no interest.</t>
  </si>
  <si>
    <t xml:space="preserve">Other revenue (option hook)</t>
  </si>
  <si>
    <t xml:space="preserve">On-site crushing revenue (option A+B)</t>
  </si>
  <si>
    <t xml:space="preserve">REVENUE</t>
  </si>
  <si>
    <t xml:space="preserve">  - Raw materials</t>
  </si>
  <si>
    <t xml:space="preserve">  - RCA testing &amp; handling</t>
  </si>
  <si>
    <t xml:space="preserve">  - Energy</t>
  </si>
  <si>
    <t xml:space="preserve">  - Delivery</t>
  </si>
  <si>
    <t xml:space="preserve">  - Variable cost delta (hook)</t>
  </si>
  <si>
    <t xml:space="preserve">  - Circular-only cost delta (option)</t>
  </si>
  <si>
    <t xml:space="preserve">  - A+B: own RCA credit</t>
  </si>
  <si>
    <t xml:space="preserve">  - A+B: contaminant disposal</t>
  </si>
  <si>
    <t xml:space="preserve">  - A+B: crusher diesel</t>
  </si>
  <si>
    <t xml:space="preserve">  - A+B: crusher wear</t>
  </si>
  <si>
    <t xml:space="preserve">  - A+B: contract crushing</t>
  </si>
  <si>
    <t xml:space="preserve">  - Bad debt</t>
  </si>
  <si>
    <t xml:space="preserve">  - Production staff</t>
  </si>
  <si>
    <t xml:space="preserve">  - Maintenance</t>
  </si>
  <si>
    <t xml:space="preserve">  - Certification &amp; testing</t>
  </si>
  <si>
    <t xml:space="preserve">  - Site lease</t>
  </si>
  <si>
    <t xml:space="preserve">  - SG&amp;A staff</t>
  </si>
  <si>
    <t xml:space="preserve">  - SG&amp;A non-staff</t>
  </si>
  <si>
    <t xml:space="preserve">  - Extra fixed opex (hook)</t>
  </si>
  <si>
    <t xml:space="preserve">  - A+B: crushing staff</t>
  </si>
  <si>
    <t xml:space="preserve">  - A+B: crusher maintenance</t>
  </si>
  <si>
    <t xml:space="preserve">  - A+B: BRL 2506 certification</t>
  </si>
  <si>
    <t xml:space="preserve">  - A+B: extra site lease</t>
  </si>
  <si>
    <t xml:space="preserve">  - One-off start-up costs</t>
  </si>
  <si>
    <t xml:space="preserve">EBITDA</t>
  </si>
  <si>
    <t xml:space="preserve">  - Depreciation &amp; amortisation</t>
  </si>
  <si>
    <t xml:space="preserve">EBIT</t>
  </si>
  <si>
    <t xml:space="preserve">  + Grant income</t>
  </si>
  <si>
    <t xml:space="preserve">PROFIT BEFORE TAX</t>
  </si>
  <si>
    <t xml:space="preserve">Corporate income tax (Vpb)</t>
  </si>
  <si>
    <t xml:space="preserve">MIA deduction</t>
  </si>
  <si>
    <t xml:space="preserve">Taxable result before loss offset</t>
  </si>
  <si>
    <t xml:space="preserve">Taxable profit after loss offset</t>
  </si>
  <si>
    <t xml:space="preserve">Tax-loss pool carried forward (end of year)</t>
  </si>
  <si>
    <t xml:space="preserve">Corporate income tax</t>
  </si>
  <si>
    <t xml:space="preserve">NET INCOME</t>
  </si>
  <si>
    <t xml:space="preserve">Checks (must be 0)</t>
  </si>
  <si>
    <t xml:space="preserve">Check: revenue lines - Revenue sheet total</t>
  </si>
  <si>
    <t xml:space="preserve">Check: sum of cost lines + Opex total</t>
  </si>
  <si>
    <t xml:space="preserve">Check: EBITDA - (revenue - total opex)</t>
  </si>
  <si>
    <t xml:space="preserve">Free cash flow (unlevered, EUR real 2026)</t>
  </si>
  <si>
    <t xml:space="preserve">Terminal value = salvage only (t=10). Working capital is not released at the end.</t>
  </si>
  <si>
    <t xml:space="preserve">Grant received</t>
  </si>
  <si>
    <t xml:space="preserve">Tax paid (same year)</t>
  </si>
  <si>
    <t xml:space="preserve">Working capital</t>
  </si>
  <si>
    <t xml:space="preserve">Receivables</t>
  </si>
  <si>
    <t xml:space="preserve">Inventory (raw materials)</t>
  </si>
  <si>
    <t xml:space="preserve">Payables (raw materials)</t>
  </si>
  <si>
    <t xml:space="preserve">Net working capital</t>
  </si>
  <si>
    <t xml:space="preserve">Change in working capital (cash out = negative)</t>
  </si>
  <si>
    <t xml:space="preserve">Investment</t>
  </si>
  <si>
    <t xml:space="preserve">Initial capex</t>
  </si>
  <si>
    <t xml:space="preserve">Sustaining capex</t>
  </si>
  <si>
    <t xml:space="preserve">Salvage value (terminal value)</t>
  </si>
  <si>
    <t xml:space="preserve">FREE CASH FLOW</t>
  </si>
  <si>
    <t xml:space="preserve">Cumulative free cash flow</t>
  </si>
  <si>
    <t xml:space="preserve">Discount factor</t>
  </si>
  <si>
    <t xml:space="preserve">Discounted free cash flow</t>
  </si>
  <si>
    <t xml:space="preserve">Cumulative discounted FCF</t>
  </si>
  <si>
    <t xml:space="preserve">Payback helpers (cash flow EXCLUDING salvage)</t>
  </si>
  <si>
    <t xml:space="preserve">FCF excl. salvage</t>
  </si>
  <si>
    <t xml:space="preserve">Cumulative FCF excl. salvage</t>
  </si>
  <si>
    <t xml:space="preserve">Cumulative discounted FCF excl. salvage</t>
  </si>
  <si>
    <t xml:space="preserve">Payback crossing (year, interpolated)</t>
  </si>
  <si>
    <t xml:space="preserve">Discounted payback crossing (year)</t>
  </si>
  <si>
    <t xml:space="preserve">Reconciliation (must be 0)</t>
  </si>
  <si>
    <t xml:space="preserve">Check: FCF - (net income + D&amp;A + dWC - capex - sustaining + salvage)</t>
  </si>
  <si>
    <t xml:space="preserve">Check: EBITDA + grant - tax - (net income + D&amp;A)</t>
  </si>
  <si>
    <t xml:space="preserve">Valuation &amp; KPIs (active scenario)</t>
  </si>
  <si>
    <t xml:space="preserve">KPI</t>
  </si>
  <si>
    <t xml:space="preserve">value</t>
  </si>
  <si>
    <t xml:space="preserve">how it is calculated</t>
  </si>
  <si>
    <t xml:space="preserve">NPV at discount rate</t>
  </si>
  <si>
    <t xml:space="preserve">sum of FCF x 1/(1+r)^t, t=0..10</t>
  </si>
  <si>
    <t xml:space="preserve">NPV cross-check with Excel NPV()</t>
  </si>
  <si>
    <t xml:space="preserve">t=0 + NPV(r, t1..t10)</t>
  </si>
  <si>
    <t xml:space="preserve">Discount rate (real)</t>
  </si>
  <si>
    <t xml:space="preserve">input</t>
  </si>
  <si>
    <t xml:space="preserve">IRR (real)</t>
  </si>
  <si>
    <t xml:space="preserve">IRR of FCF t=0..10 incl. salvage</t>
  </si>
  <si>
    <t xml:space="preserve">Payback period (simple)</t>
  </si>
  <si>
    <t xml:space="preserve">years from t=0</t>
  </si>
  <si>
    <t xml:space="preserve">first year cumulative FCF (excl. salvage) &gt;= 0, interpolated</t>
  </si>
  <si>
    <t xml:space="preserve">Discounted payback period</t>
  </si>
  <si>
    <t xml:space="preserve">same on discounted FCF</t>
  </si>
  <si>
    <t xml:space="preserve">EBITDA in 3rd operating year (2029; 2030 if sales start 2028)</t>
  </si>
  <si>
    <t xml:space="preserve">first year at full output (criterion 3)</t>
  </si>
  <si>
    <t xml:space="preserve">EBITDA year 1 (2027)</t>
  </si>
  <si>
    <t xml:space="preserve">EBITDA year 10 (2036)</t>
  </si>
  <si>
    <t xml:space="preserve">Funding need (peak cumulative negative FCF)</t>
  </si>
  <si>
    <t xml:space="preserve">equity/debt needed before the plant pays for itself</t>
  </si>
  <si>
    <t xml:space="preserve">plant + civil + permits (+hooks, crushing line)</t>
  </si>
  <si>
    <t xml:space="preserve">NPV as % of initial capex</t>
  </si>
  <si>
    <t xml:space="preserve">borderline test: -10% .. 0%</t>
  </si>
  <si>
    <t xml:space="preserve">Memo: NPV if working capital is released in 2036</t>
  </si>
  <si>
    <t xml:space="preserve">not used for the criteria (plan 2.1 allows salvage only)</t>
  </si>
  <si>
    <t xml:space="preserve">Revenue 3rd operating year</t>
  </si>
  <si>
    <t xml:space="preserve">Contribution per m3, 3rd operating year</t>
  </si>
  <si>
    <t xml:space="preserve">concrete price - concrete variable costs (incl. bad debt, delivery)</t>
  </si>
  <si>
    <t xml:space="preserve">Break-even volume EBITDA = 0 (3rd-operating-year prices &amp; fixed costs)</t>
  </si>
  <si>
    <t xml:space="preserve">(fixed costs - hook revenue - crusher net) / contribution per m3</t>
  </si>
  <si>
    <t xml:space="preserve">Capital recovery charge (10 yr annuity of initial capex at r)</t>
  </si>
  <si>
    <t xml:space="preserve">memo</t>
  </si>
  <si>
    <t xml:space="preserve">Volume where EBITDA covers the capital charge (year-3 basis, pre-tax)</t>
  </si>
  <si>
    <t xml:space="preserve">rough NPV break-even; exact Python value below</t>
  </si>
  <si>
    <t xml:space="preserve">Computed by model_core.py (base case, values - not live)</t>
  </si>
  <si>
    <t xml:space="preserve">NPV break-even steady-state volume (same ramp %)</t>
  </si>
  <si>
    <t xml:space="preserve">NPV break-even plant-average price (2026 basis)</t>
  </si>
  <si>
    <t xml:space="preserve">NPV break-even public green premium (private 0%)</t>
  </si>
  <si>
    <t xml:space="preserve">NPV break-even plant-equipment capex</t>
  </si>
  <si>
    <t xml:space="preserve">MEUR (negative = impossible)</t>
  </si>
  <si>
    <t xml:space="preserve">NPV with 60k m3/yr steady state (market SOM)</t>
  </si>
  <si>
    <t xml:space="preserve">NPV at 6% discount rate</t>
  </si>
  <si>
    <t xml:space="preserve">NPV at 10% discount rate</t>
  </si>
  <si>
    <t xml:space="preserve">NPV without grant</t>
  </si>
  <si>
    <t xml:space="preserve">Scenarios - pessimistic / base / optimistic (values from model_core.py)</t>
  </si>
  <si>
    <t xml:space="preserve">Each input takes the column shown in Inputs!F (pessimistic) and Inputs!G (optimistic). Cost-type inputs: pessimistic = high column; revenue-type inputs: pessimistic = low column; 'fixed' inputs (discount rate, tax, lifetimes, recipes) stay at base. ALL inputs move together, so these are stress bounds, not likely cases. To see a scenario live, set Inputs!C3 to 1, 2 or 3.</t>
  </si>
  <si>
    <t xml:space="preserve">Pessimistic</t>
  </si>
  <si>
    <t xml:space="preserve">Base</t>
  </si>
  <si>
    <t xml:space="preserve">Optimistic</t>
  </si>
  <si>
    <t xml:space="preserve">NPV @ 8%</t>
  </si>
  <si>
    <t xml:space="preserve">IRR</t>
  </si>
  <si>
    <t xml:space="preserve">n/a / not reached</t>
  </si>
  <si>
    <t xml:space="preserve">Payback</t>
  </si>
  <si>
    <t xml:space="preserve">Discounted payback</t>
  </si>
  <si>
    <t xml:space="preserve">EBITDA year 3 (2029)</t>
  </si>
  <si>
    <t xml:space="preserve">Funding need</t>
  </si>
  <si>
    <t xml:space="preserve">NPV / capex</t>
  </si>
  <si>
    <t xml:space="preserve">Break-even volume (EBITDA=0, yr-3 basis)</t>
  </si>
  <si>
    <t xml:space="preserve">EBITDA by year</t>
  </si>
  <si>
    <t xml:space="preserve">pessimistic</t>
  </si>
  <si>
    <t xml:space="preserve">optimistic</t>
  </si>
  <si>
    <t xml:space="preserve">Free cash flow by year</t>
  </si>
  <si>
    <t xml:space="preserve">Volume by year</t>
  </si>
  <si>
    <t xml:space="preserve">Plausible range (memo): base NPV +/- root-sum-square of the one-at-a-time NPV deviations of independent drivers</t>
  </si>
  <si>
    <t xml:space="preserve">NPV low (RSS)</t>
  </si>
  <si>
    <t xml:space="preserve">NPV high (RSS)</t>
  </si>
  <si>
    <t xml:space="preserve">Drivers in RSS: Average selling price (EUR 115-155/m3), Capex (plant, civil, permits), Cement price 2026 (EUR 95-130/t), Circular share of volume (40-80%), Concrete delivery distance (10-35 km), Delivery cost rates (fixed + per km), ETS/CBAM carbon cost path only, Grant DEI+/VEKI (EUR 0-1.5M), Gravel price (EUR 25-40/t), Green premium (public &amp; private), Maintenance (1.5-4% of capex), Plant utilisation (50k-90k m3/yr), Production staff (FTE x cost), RCA haul distance (15-50 km), Ramp-up speed (yr1-3), Recycled aggregate price, ex-works (EUR 10-25/t), SG&amp;A (staff + non-staff), Salvage value (10-40% of capex), Sand price (EUR 14-25/t), Site lease (area x rate), Working capital days</t>
  </si>
  <si>
    <t xml:space="preserve">Sensitivity - one input group at a time to its low / high column, effect on NPV @ 8% (values from model_core.py)</t>
  </si>
  <si>
    <t xml:space="preserve">Base NPV = -4,481,665 EUR. Sorted by swing (tornado order).</t>
  </si>
  <si>
    <t xml:space="preserve">Rank</t>
  </si>
  <si>
    <t xml:space="preserve">Driver</t>
  </si>
  <si>
    <t xml:space="preserve">NPV at LOW input</t>
  </si>
  <si>
    <t xml:space="preserve">NPV at HIGH input</t>
  </si>
  <si>
    <t xml:space="preserve">Swing</t>
  </si>
  <si>
    <t xml:space="preserve">Pessimistic column</t>
  </si>
  <si>
    <t xml:space="preserve">NPV at pessimistic</t>
  </si>
  <si>
    <t xml:space="preserve">Main driver (crit. 4)</t>
  </si>
  <si>
    <t xml:space="preserve">Parameters moved</t>
  </si>
  <si>
    <t xml:space="preserve">Average selling price (EUR 115-155/m3)</t>
  </si>
  <si>
    <t xml:space="preserve">Transport distance (delivery 10-35 km + RCA haul 15-50 km)</t>
  </si>
  <si>
    <t xml:space="preserve">yes</t>
  </si>
  <si>
    <t xml:space="preserve">delivery_avg_distance_oneway, rca_transport_distance</t>
  </si>
  <si>
    <t xml:space="preserve">Plant utilisation (50k-90k m3/yr)</t>
  </si>
  <si>
    <t xml:space="preserve">Gravel price (EUR 25-40/t)</t>
  </si>
  <si>
    <t xml:space="preserve">Concrete delivery distance (10-35 km)</t>
  </si>
  <si>
    <t xml:space="preserve">Cement price + ETS/CBAM path</t>
  </si>
  <si>
    <t xml:space="preserve">price_cem3b_2026_delivered, carbon_cost_cem3b_2026, carbon_cost_cem3b_2027 ...</t>
  </si>
  <si>
    <t xml:space="preserve">Cement price 2026 (EUR 95-130/t)</t>
  </si>
  <si>
    <t xml:space="preserve">Capex (plant, civil, permits)</t>
  </si>
  <si>
    <t xml:space="preserve">capex_plant_equipment, capex_site_prep_civil, capex_permits_engineering</t>
  </si>
  <si>
    <t xml:space="preserve">SG&amp;A (staff + non-staff)</t>
  </si>
  <si>
    <t xml:space="preserve">staff_sga_fte, cost_per_fte_sga, sga_fixed_non_staff</t>
  </si>
  <si>
    <t xml:space="preserve">Delivery cost rates (fixed + per km)</t>
  </si>
  <si>
    <t xml:space="preserve">delivery_fixed_per_m3, delivery_variable_per_km_oneway</t>
  </si>
  <si>
    <t xml:space="preserve">Sand price (EUR 14-25/t)</t>
  </si>
  <si>
    <t xml:space="preserve">Ramp-up speed (yr1-3)</t>
  </si>
  <si>
    <t xml:space="preserve">ramp_year1_pct_of_steady, ramp_year2_pct_of_steady, ramp_year3plus_pct_of_steady</t>
  </si>
  <si>
    <t xml:space="preserve">Production staff (FTE x cost)</t>
  </si>
  <si>
    <t xml:space="preserve">staff_production_fte, cost_per_fte_production</t>
  </si>
  <si>
    <t xml:space="preserve">Site lease (area x rate)</t>
  </si>
  <si>
    <t xml:space="preserve">site_area, site_lease_rate</t>
  </si>
  <si>
    <t xml:space="preserve">Recycled aggregate price, ex-works (EUR 10-25/t)</t>
  </si>
  <si>
    <t xml:space="preserve">Green premium (public &amp; private)</t>
  </si>
  <si>
    <t xml:space="preserve">green_premium_public, green_premium_private</t>
  </si>
  <si>
    <t xml:space="preserve">Grant DEI+/VEKI (EUR 0-1.5M)</t>
  </si>
  <si>
    <t xml:space="preserve">RCA haul distance (15-50 km)</t>
  </si>
  <si>
    <t xml:space="preserve">Maintenance (1.5-4% of capex)</t>
  </si>
  <si>
    <t xml:space="preserve">Salvage value (10-40% of capex)</t>
  </si>
  <si>
    <t xml:space="preserve">Circular share of volume (40-80%)</t>
  </si>
  <si>
    <t xml:space="preserve">Discount rate (6-10%)</t>
  </si>
  <si>
    <t xml:space="preserve">Working capital days</t>
  </si>
  <si>
    <t xml:space="preserve">working_capital_receivable_days, working_capital_payable_days, working_capital_inventory_days</t>
  </si>
  <si>
    <t xml:space="preserve">ETS/CBAM carbon cost path only</t>
  </si>
  <si>
    <t xml:space="preserve">carbon_cost_cem3b_2026, carbon_cost_cem3b_2027, carbon_cost_cem3b_2028 ...</t>
  </si>
  <si>
    <t xml:space="preserve">Viability gate - plan.md section 2.1 (criteria fixed before results)</t>
  </si>
  <si>
    <t xml:space="preserve">#</t>
  </si>
  <si>
    <t xml:space="preserve">Criterion</t>
  </si>
  <si>
    <t xml:space="preserve">Value</t>
  </si>
  <si>
    <t xml:space="preserve">Threshold</t>
  </si>
  <si>
    <t xml:space="preserve">Result</t>
  </si>
  <si>
    <t xml:space="preserve">NPV &gt; 0 at 8% real (10 yr, salvage-only terminal value)</t>
  </si>
  <si>
    <t xml:space="preserve">&gt; 0</t>
  </si>
  <si>
    <t xml:space="preserve">Payback period &lt; 7 years</t>
  </si>
  <si>
    <t xml:space="preserve">&lt; 7</t>
  </si>
  <si>
    <t xml:space="preserve">EBITDA positive by year 3 (2029)</t>
  </si>
  <si>
    <t xml:space="preserve">NPV &gt; 0 with each of 6 main drivers at its pessimistic value (one at a time): at least 2 of 6</t>
  </si>
  <si>
    <t xml:space="preserve">&gt;= 2 of 6</t>
  </si>
  <si>
    <t xml:space="preserve">Borderline test: NPV between -10% and 0% of initial capex</t>
  </si>
  <si>
    <t xml:space="preserve">VERDICT</t>
  </si>
  <si>
    <t xml:space="preserve">Criterion 4 detail (base case, model_core.py)</t>
  </si>
  <si>
    <t xml:space="preserve">NPV &gt; 0?</t>
  </si>
  <si>
    <t xml:space="preserve">FAIL</t>
  </si>
  <si>
    <t xml:space="preserve">Viability options - live option selector (Agent 7)</t>
  </si>
  <si>
    <t xml:space="preserve">Set Inputs!I3 to an option number (1..N, row 5) and the WHOLE model recalculates live with that option's values (blank cell = parameter keeps its scenario/base value). 0 = base case. Option O6 (asset-light) is a separate model: sheet Opt_AssetLight. Results table below: values from model/options.py (grey) - see research/viability_options.md.</t>
  </si>
  <si>
    <t xml:space="preserve">Active option number (Inputs!I3)</t>
  </si>
  <si>
    <t xml:space="preserve">Live NPV of active option</t>
  </si>
  <si>
    <t xml:space="preserve">parameter</t>
  </si>
  <si>
    <t xml:space="preserve">base value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</si>
  <si>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</si>
  <si>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</si>
  <si>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</si>
  <si>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</si>
  <si>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</si>
  <si>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</si>
  <si>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</si>
  <si>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</si>
  <si>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</si>
  <si>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</si>
  <si>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</si>
  <si>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option</t>
  </si>
  <si>
    <t xml:space="preserve">O0 Corrected base: first sales 2028</t>
  </si>
  <si>
    <t xml:space="preserve">O1 A+B own mobile crushing line</t>
  </si>
  <si>
    <t xml:space="preserve">O2 A+B with demolition partner (contract crushing)</t>
  </si>
  <si>
    <t xml:space="preserve">O3 Acquire and convert an existing plant</t>
  </si>
  <si>
    <t xml:space="preserve">O4 Offtake / framework contracts (MKI tenders)</t>
  </si>
  <si>
    <t xml:space="preserve">O5 Lower-CO2 binder product (from 2029)</t>
  </si>
  <si>
    <t xml:space="preserve">O7 Maximum realistic subsidies</t>
  </si>
  <si>
    <t xml:space="preserve">O8 Bigger plant: 100k m3/yr</t>
  </si>
  <si>
    <t xml:space="preserve">O9 Urban site closer to demand (truck-fed)</t>
  </si>
  <si>
    <t xml:space="preserve">P1 Package 1: acquire + partner crushing + frameworks</t>
  </si>
  <si>
    <t xml:space="preserve">P2 Package 2: P1 + scale to 90k m3/yr</t>
  </si>
  <si>
    <t xml:space="preserve">Results per option (values from model/options.py; criterion 4 = option-relative stress test)</t>
  </si>
  <si>
    <t xml:space="preserve">payback (yr)</t>
  </si>
  <si>
    <t xml:space="preserve">EBITDA 3rd op. year</t>
  </si>
  <si>
    <t xml:space="preserve">funding need</t>
  </si>
  <si>
    <t xml:space="preserve">initial capex</t>
  </si>
  <si>
    <t xml:space="preserve">criteria passed</t>
  </si>
  <si>
    <t xml:space="preserve">crit. 4 (of 6)</t>
  </si>
  <si>
    <t xml:space="preserve">verdict</t>
  </si>
  <si>
    <t xml:space="preserve">feasibility 1-5</t>
  </si>
  <si>
    <t xml:space="preserve">BASE Base case as gated (sales 2027)</t>
  </si>
  <si>
    <t xml:space="preserve">not reached</t>
  </si>
  <si>
    <t xml:space="preserve">1/4</t>
  </si>
  <si>
    <t xml:space="preserve">NOT VIABLE</t>
  </si>
  <si>
    <t xml:space="preserve">O6 Asset-light: licence + RCA service (archetype D)</t>
  </si>
  <si>
    <t xml:space="preserve">n/a</t>
  </si>
  <si>
    <t xml:space="preserve">0/4</t>
  </si>
  <si>
    <t xml:space="preserve">2/4</t>
  </si>
  <si>
    <t xml:space="preserve">Policy dependence (values from model/options.py)</t>
  </si>
  <si>
    <t xml:space="preserve">case</t>
  </si>
  <si>
    <t xml:space="preserve">levy on gravel+sand for NPV=0 (EUR/t)</t>
  </si>
  <si>
    <t xml:space="preserve">public green premium for NPV=0 (%)</t>
  </si>
  <si>
    <t xml:space="preserve">MKI value on circular m3 for NPV=0 (EUR/m3)</t>
  </si>
  <si>
    <t xml:space="preserve">NPV high ETS path</t>
  </si>
  <si>
    <t xml:space="preserve">NPV gate fee 15</t>
  </si>
  <si>
    <t xml:space="preserve">price for NPV=0 (EUR/m3)</t>
  </si>
  <si>
    <t xml:space="preserve">volume for NPV=0 (m3/yr)</t>
  </si>
  <si>
    <t xml:space="preserve">O0</t>
  </si>
  <si>
    <t xml:space="preserve">none in range</t>
  </si>
  <si>
    <t xml:space="preserve">P1</t>
  </si>
  <si>
    <t xml:space="preserve">P2</t>
  </si>
  <si>
    <t xml:space="preserve">Option O6 - asset-light licence + RCA service (archetype D), EUR real 2026</t>
  </si>
  <si>
    <t xml:space="preserve">Separate small model (no plant). Inputs in column P (blue). Same tax and discounting rules as the plant model.</t>
  </si>
  <si>
    <t xml:space="preserve">ID</t>
  </si>
  <si>
    <t xml:space="preserve">Licensee plants</t>
  </si>
  <si>
    <t xml:space="preserve">plants</t>
  </si>
  <si>
    <t xml:space="preserve">Licensee plants at maturity (+1 per year from 2027)</t>
  </si>
  <si>
    <t xml:space="preserve">A-OPT-19</t>
  </si>
  <si>
    <t xml:space="preserve">Circular volume at licensees</t>
  </si>
  <si>
    <t xml:space="preserve">Circular volume per licensee plant</t>
  </si>
  <si>
    <t xml:space="preserve">Licence / service fees</t>
  </si>
  <si>
    <t xml:space="preserve">Licence / service fee</t>
  </si>
  <si>
    <t xml:space="preserve">A-OPT-20</t>
  </si>
  <si>
    <t xml:space="preserve">RCA brokerage margin</t>
  </si>
  <si>
    <t xml:space="preserve">RCA supplied per m3</t>
  </si>
  <si>
    <t xml:space="preserve">t/m3</t>
  </si>
  <si>
    <t xml:space="preserve">inputs mix_circ_rca_coarse</t>
  </si>
  <si>
    <t xml:space="preserve">LCA/EPD/MKI services</t>
  </si>
  <si>
    <t xml:space="preserve">Brokerage margin on RCA</t>
  </si>
  <si>
    <t xml:space="preserve">A-OPT-21</t>
  </si>
  <si>
    <t xml:space="preserve">LCA/EPD/MKI project services (from 2028)</t>
  </si>
  <si>
    <t xml:space="preserve">A-OPT-22</t>
  </si>
  <si>
    <t xml:space="preserve">Staff</t>
  </si>
  <si>
    <t xml:space="preserve">Team (technologist, LCA, sales, logistics)</t>
  </si>
  <si>
    <t xml:space="preserve">A-OPT-23</t>
  </si>
  <si>
    <t xml:space="preserve">Other overhead</t>
  </si>
  <si>
    <t xml:space="preserve">Cost per FTE</t>
  </si>
  <si>
    <t xml:space="preserve">inputs cost_per_fte_sga</t>
  </si>
  <si>
    <t xml:space="preserve">Start-up costs (expensed)</t>
  </si>
  <si>
    <t xml:space="preserve">Other overhead (office, IT, insurance, LCA software)</t>
  </si>
  <si>
    <t xml:space="preserve">Mix development, trial mixes, EPDs, contracts (2026, expensed)</t>
  </si>
  <si>
    <t xml:space="preserve">Depreciation</t>
  </si>
  <si>
    <t xml:space="preserve">Lab equipment, software (2026)</t>
  </si>
  <si>
    <t xml:space="preserve">Depreciation life</t>
  </si>
  <si>
    <t xml:space="preserve">Receivable days</t>
  </si>
  <si>
    <t xml:space="preserve">inputs working_capital_receivable_days</t>
  </si>
  <si>
    <t xml:space="preserve">Tax-loss pool (end of year)</t>
  </si>
  <si>
    <t xml:space="preserve">Capex</t>
  </si>
  <si>
    <t xml:space="preserve">Cumulative FCF</t>
  </si>
  <si>
    <t xml:space="preserve">Payback crossing (year)</t>
  </si>
  <si>
    <t xml:space="preserve">NPV @ discount rate</t>
  </si>
  <si>
    <t xml:space="preserve">Payback (years from 2026)</t>
  </si>
  <si>
    <t xml:space="preserve">EBITDA 2029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</si>
</sst>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;[RED]\-#,##0.00"/>
    <numFmt numFmtId="166" formatCode="0.0%"/>
    <numFmt numFmtId="167" formatCode="General"/>
    <numFmt numFmtId="168" formatCode="#,##0;[RED]\-#,##0"/>
    <numFmt numFmtId="169" formatCode="0"/>
    <numFmt numFmtId="170" formatCode="0.00%"/>
    <numFmt numFmtId="171" formatCode="0.0000"/>
    <numFmt numFmtId="172" formatCode="0.00"/>
    <numFmt numFmtId="173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color rgb="FF0000FF"/>
      <name val="Cambria"/>
      <family val="0"/>
      <charset val="1"/>
    </font>
    <font>
      <i val="true"/>
      <sz val="11"/>
      <color rgb="FF7F7F7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44546A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7F7F7F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3"/>
      <color rgb="FFC000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44546A"/>
        <bgColor rgb="FF333399"/>
      </patternFill>
    </fill>
    <fill>
      <patternFill patternType="solid">
        <fgColor rgb="FFE7E6E6"/>
        <bgColor rgb="FFE2EFDA"/>
      </patternFill>
    </fill>
    <fill>
      <patternFill patternType="solid">
        <fgColor rgb="FFE2EFDA"/>
        <bgColor rgb="FFE7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3" customFormat="false" ht="15" hidden="false" customHeight="false" outlineLevel="0" collapsed="false">
      <c r="A13" s="0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">
        <v>16</v>
      </c>
    </row>
    <row r="21" customFormat="false" ht="15" hidden="false" customHeight="false" outlineLevel="0" collapsed="false">
      <c r="A21" s="0" t="s">
        <v>17</v>
      </c>
    </row>
    <row r="22" customFormat="false" ht="15" hidden="false" customHeight="false" outlineLevel="0" collapsed="false">
      <c r="A22" s="0" t="s">
        <v>18</v>
      </c>
    </row>
    <row r="23" customFormat="false" ht="15" hidden="false" customHeight="false" outlineLevel="0" collapsed="false">
      <c r="A23" s="0" t="s">
        <v>19</v>
      </c>
    </row>
    <row r="24" customFormat="false" ht="15" hidden="false" customHeight="false" outlineLevel="0" collapsed="false">
      <c r="A24" s="0" t="s">
        <v>20</v>
      </c>
    </row>
    <row r="25" customFormat="false" ht="15" hidden="false" customHeight="false" outlineLevel="0" collapsed="false">
      <c r="A25" s="0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0" t="s">
        <v>23</v>
      </c>
    </row>
    <row r="29" customFormat="false" ht="15" hidden="false" customHeight="false" outlineLevel="0" collapsed="false">
      <c r="A29" s="0" t="s">
        <v>24</v>
      </c>
    </row>
    <row r="30" customFormat="false" ht="15" hidden="false" customHeight="false" outlineLevel="0" collapsed="false">
      <c r="A30" s="0" t="s">
        <v>25</v>
      </c>
    </row>
    <row r="31" customFormat="false" ht="15" hidden="false" customHeight="false" outlineLevel="0" collapsed="false">
      <c r="A31" s="2" t="s">
        <v>26</v>
      </c>
    </row>
    <row r="32" customFormat="false" ht="15" hidden="false" customHeight="false" outlineLevel="0" collapsed="false">
      <c r="A32" s="0" t="s">
        <v>27</v>
      </c>
    </row>
    <row r="33" customFormat="false" ht="15" hidden="false" customHeight="false" outlineLevel="0" collapsed="false">
      <c r="A33" s="0" t="s">
        <v>28</v>
      </c>
    </row>
    <row r="35" customFormat="false" ht="15" hidden="false" customHeight="false" outlineLevel="0" collapsed="false">
      <c r="A35" s="2" t="s">
        <v>29</v>
      </c>
    </row>
    <row r="36" customFormat="false" ht="15" hidden="false" customHeight="false" outlineLevel="0" collapsed="false">
      <c r="A36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5" min="3" style="0" width="11"/>
    <col collapsed="false" customWidth="true" hidden="false" outlineLevel="0" max="7" min="6" style="0" width="8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22"/>
    <col collapsed="false" customWidth="true" hidden="false" outlineLevel="0" max="13" min="13" style="0" width="60"/>
    <col collapsed="false" customWidth="true" hidden="false" outlineLevel="0" max="14" min="14" style="0" width="9"/>
  </cols>
  <sheetData>
    <row r="1" customFormat="false" ht="17.35" hidden="false" customHeight="false" outlineLevel="0" collapsed="false">
      <c r="A1" s="1" t="s">
        <v>31</v>
      </c>
    </row>
    <row r="3" customFormat="false" ht="15" hidden="false" customHeight="false" outlineLevel="0" collapsed="false">
      <c r="A3" s="2" t="s">
        <v>32</v>
      </c>
      <c r="C3" s="4" t="n">
        <v>2</v>
      </c>
      <c r="D3" s="2" t="str">
        <f aca="false">CHOOSE(scenario,"Pessimistic","Base","Optimistic")</f>
        <v>Base</v>
      </c>
      <c r="F3" s="2" t="s">
        <v>33</v>
      </c>
      <c r="I3" s="4" t="n">
        <v>0</v>
      </c>
    </row>
    <row r="4" customFormat="false" ht="15" hidden="false" customHeight="false" outlineLevel="0" collapsed="false">
      <c r="A4" s="5" t="s">
        <v>34</v>
      </c>
    </row>
    <row r="5" customFormat="false" ht="28.35" hidden="false" customHeight="false" outlineLevel="0" collapsed="false">
      <c r="A5" s="6" t="s">
        <v>35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44</v>
      </c>
      <c r="K5" s="6" t="s">
        <v>45</v>
      </c>
      <c r="L5" s="6" t="s">
        <v>46</v>
      </c>
      <c r="M5" s="6" t="s">
        <v>47</v>
      </c>
      <c r="N5" s="6" t="s">
        <v>48</v>
      </c>
      <c r="O5" s="6" t="s">
        <v>49</v>
      </c>
    </row>
    <row r="6" customFormat="false" ht="15" hidden="false" customHeight="false" outlineLevel="0" collapsed="false">
      <c r="A6" s="0" t="s">
        <v>50</v>
      </c>
      <c r="B6" s="0" t="s">
        <v>51</v>
      </c>
      <c r="C6" s="3" t="s">
        <v>52</v>
      </c>
      <c r="D6" s="3" t="s">
        <v>52</v>
      </c>
      <c r="E6" s="3" t="s">
        <v>52</v>
      </c>
      <c r="F6" s="3" t="n">
        <v>2</v>
      </c>
      <c r="G6" s="3" t="n">
        <v>2</v>
      </c>
      <c r="H6" s="0" t="str">
        <f aca="false">INDEX(C6:E6,1,CHOOSE(scenario,F6,2,G6))</f>
        <v>real 2026 EUR excl. VAT</v>
      </c>
      <c r="I6" s="7"/>
      <c r="J6" s="2" t="str">
        <f aca="false">IF(I6&lt;&gt;"",I6,IF(O6&lt;&gt;"",O6,H6))</f>
        <v>real 2026 EUR excl. VAT</v>
      </c>
      <c r="K6" s="8" t="s">
        <v>53</v>
      </c>
      <c r="L6" s="8" t="s">
        <v>54</v>
      </c>
      <c r="M6" s="8" t="s">
        <v>55</v>
      </c>
      <c r="N6" s="8" t="s">
        <v>56</v>
      </c>
      <c r="O6" s="0" t="str">
        <f aca="false">IFERROR(IF(option_sel=0,"",IF(LEN(INDEX(Opt_Overview!$C$7:$M$38,MATCH($A6,Opt_Overview!$A$7:$A$38,0),option_sel))=0,"",INDEX(Opt_Overview!$C$7:$M$38,MATCH($A6,Opt_Overview!$A$7:$A$38,0),option_sel))),"")</f>
        <v/>
      </c>
    </row>
    <row r="7" customFormat="false" ht="15" hidden="false" customHeight="false" outlineLevel="0" collapsed="false">
      <c r="A7" s="0" t="s">
        <v>57</v>
      </c>
      <c r="B7" s="0" t="s">
        <v>58</v>
      </c>
      <c r="C7" s="3" t="n">
        <v>0</v>
      </c>
      <c r="D7" s="3" t="n">
        <v>0</v>
      </c>
      <c r="E7" s="3" t="n">
        <v>0</v>
      </c>
      <c r="F7" s="3" t="n">
        <v>2</v>
      </c>
      <c r="G7" s="3" t="n">
        <v>2</v>
      </c>
      <c r="H7" s="8" t="n">
        <f aca="false">INDEX(C7:E7,1,CHOOSE(scenario,F7,2,G7))</f>
        <v>0</v>
      </c>
      <c r="I7" s="7"/>
      <c r="J7" s="2" t="n">
        <f aca="false">IF(I7&lt;&gt;"",I7,IF(O7&lt;&gt;"",O7,H7))</f>
        <v>0</v>
      </c>
      <c r="K7" s="8" t="s">
        <v>53</v>
      </c>
      <c r="L7" s="8" t="s">
        <v>54</v>
      </c>
      <c r="M7" s="8" t="s">
        <v>59</v>
      </c>
      <c r="N7" s="8" t="s">
        <v>56</v>
      </c>
      <c r="O7" s="0" t="str">
        <f aca="false">IFERROR(IF(option_sel=0,"",IF(LEN(INDEX(Opt_Overview!$C$7:$M$38,MATCH($A7,Opt_Overview!$A$7:$A$38,0),option_sel))=0,"",INDEX(Opt_Overview!$C$7:$M$38,MATCH($A7,Opt_Overview!$A$7:$A$38,0),option_sel))),"")</f>
        <v/>
      </c>
    </row>
    <row r="8" customFormat="false" ht="15" hidden="false" customHeight="false" outlineLevel="0" collapsed="false">
      <c r="A8" s="0" t="s">
        <v>60</v>
      </c>
      <c r="B8" s="0" t="s">
        <v>61</v>
      </c>
      <c r="C8" s="3" t="n">
        <v>1.02</v>
      </c>
      <c r="D8" s="3" t="n">
        <v>1.022</v>
      </c>
      <c r="E8" s="3" t="n">
        <v>1.03</v>
      </c>
      <c r="F8" s="3" t="n">
        <v>2</v>
      </c>
      <c r="G8" s="3" t="n">
        <v>2</v>
      </c>
      <c r="H8" s="8" t="n">
        <f aca="false">INDEX(C8:E8,1,CHOOSE(scenario,F8,2,G8))</f>
        <v>1.022</v>
      </c>
      <c r="I8" s="7"/>
      <c r="J8" s="2" t="n">
        <f aca="false">IF(I8&lt;&gt;"",I8,IF(O8&lt;&gt;"",O8,H8))</f>
        <v>1.022</v>
      </c>
      <c r="K8" s="8" t="s">
        <v>62</v>
      </c>
      <c r="L8" s="8" t="s">
        <v>63</v>
      </c>
      <c r="M8" s="8" t="s">
        <v>64</v>
      </c>
      <c r="N8" s="8" t="s">
        <v>56</v>
      </c>
      <c r="O8" s="0" t="str">
        <f aca="false">IFERROR(IF(option_sel=0,"",IF(LEN(INDEX(Opt_Overview!$C$7:$M$38,MATCH($A8,Opt_Overview!$A$7:$A$38,0),option_sel))=0,"",INDEX(Opt_Overview!$C$7:$M$38,MATCH($A8,Opt_Overview!$A$7:$A$38,0),option_sel))),"")</f>
        <v/>
      </c>
    </row>
    <row r="9" customFormat="false" ht="15" hidden="false" customHeight="false" outlineLevel="0" collapsed="false">
      <c r="A9" s="0" t="s">
        <v>65</v>
      </c>
      <c r="B9" s="0" t="s">
        <v>66</v>
      </c>
      <c r="C9" s="3" t="n">
        <v>6</v>
      </c>
      <c r="D9" s="3" t="n">
        <v>8</v>
      </c>
      <c r="E9" s="3" t="n">
        <v>10</v>
      </c>
      <c r="F9" s="3" t="n">
        <v>2</v>
      </c>
      <c r="G9" s="3" t="n">
        <v>2</v>
      </c>
      <c r="H9" s="8" t="n">
        <f aca="false">INDEX(C9:E9,1,CHOOSE(scenario,F9,2,G9))</f>
        <v>8</v>
      </c>
      <c r="I9" s="7"/>
      <c r="J9" s="2" t="n">
        <f aca="false">IF(I9&lt;&gt;"",I9,IF(O9&lt;&gt;"",O9,H9))</f>
        <v>8</v>
      </c>
      <c r="K9" s="8" t="s">
        <v>53</v>
      </c>
      <c r="L9" s="8" t="s">
        <v>54</v>
      </c>
      <c r="M9" s="8" t="s">
        <v>67</v>
      </c>
      <c r="N9" s="8" t="s">
        <v>56</v>
      </c>
      <c r="O9" s="0" t="str">
        <f aca="false">IFERROR(IF(option_sel=0,"",IF(LEN(INDEX(Opt_Overview!$C$7:$M$38,MATCH($A9,Opt_Overview!$A$7:$A$38,0),option_sel))=0,"",INDEX(Opt_Overview!$C$7:$M$38,MATCH($A9,Opt_Overview!$A$7:$A$38,0),option_sel))),"")</f>
        <v/>
      </c>
    </row>
    <row r="10" customFormat="false" ht="15" hidden="false" customHeight="false" outlineLevel="0" collapsed="false">
      <c r="A10" s="0" t="s">
        <v>68</v>
      </c>
      <c r="B10" s="0" t="s">
        <v>66</v>
      </c>
      <c r="C10" s="3" t="n">
        <v>19</v>
      </c>
      <c r="D10" s="3" t="n">
        <v>19</v>
      </c>
      <c r="E10" s="3" t="n">
        <v>19</v>
      </c>
      <c r="F10" s="3" t="n">
        <v>2</v>
      </c>
      <c r="G10" s="3" t="n">
        <v>2</v>
      </c>
      <c r="H10" s="8" t="n">
        <f aca="false">INDEX(C10:E10,1,CHOOSE(scenario,F10,2,G10))</f>
        <v>19</v>
      </c>
      <c r="I10" s="7"/>
      <c r="J10" s="2" t="n">
        <f aca="false">IF(I10&lt;&gt;"",I10,IF(O10&lt;&gt;"",O10,H10))</f>
        <v>19</v>
      </c>
      <c r="K10" s="8" t="s">
        <v>53</v>
      </c>
      <c r="L10" s="8" t="s">
        <v>69</v>
      </c>
      <c r="M10" s="8" t="s">
        <v>70</v>
      </c>
      <c r="N10" s="8" t="s">
        <v>56</v>
      </c>
      <c r="O10" s="0" t="str">
        <f aca="false">IFERROR(IF(option_sel=0,"",IF(LEN(INDEX(Opt_Overview!$C$7:$M$38,MATCH($A10,Opt_Overview!$A$7:$A$38,0),option_sel))=0,"",INDEX(Opt_Overview!$C$7:$M$38,MATCH($A10,Opt_Overview!$A$7:$A$38,0),option_sel))),"")</f>
        <v/>
      </c>
    </row>
    <row r="11" customFormat="false" ht="15" hidden="false" customHeight="false" outlineLevel="0" collapsed="false">
      <c r="A11" s="0" t="s">
        <v>71</v>
      </c>
      <c r="B11" s="0" t="s">
        <v>72</v>
      </c>
      <c r="C11" s="3" t="n">
        <v>200000</v>
      </c>
      <c r="D11" s="3" t="n">
        <v>200000</v>
      </c>
      <c r="E11" s="3" t="n">
        <v>200000</v>
      </c>
      <c r="F11" s="3" t="n">
        <v>2</v>
      </c>
      <c r="G11" s="3" t="n">
        <v>2</v>
      </c>
      <c r="H11" s="8" t="n">
        <f aca="false">INDEX(C11:E11,1,CHOOSE(scenario,F11,2,G11))</f>
        <v>200000</v>
      </c>
      <c r="I11" s="7"/>
      <c r="J11" s="2" t="n">
        <f aca="false">IF(I11&lt;&gt;"",I11,IF(O11&lt;&gt;"",O11,H11))</f>
        <v>200000</v>
      </c>
      <c r="K11" s="8" t="s">
        <v>53</v>
      </c>
      <c r="L11" s="8" t="s">
        <v>69</v>
      </c>
      <c r="N11" s="8" t="s">
        <v>56</v>
      </c>
      <c r="O11" s="0" t="str">
        <f aca="false">IFERROR(IF(option_sel=0,"",IF(LEN(INDEX(Opt_Overview!$C$7:$M$38,MATCH($A11,Opt_Overview!$A$7:$A$38,0),option_sel))=0,"",INDEX(Opt_Overview!$C$7:$M$38,MATCH($A11,Opt_Overview!$A$7:$A$38,0),option_sel))),"")</f>
        <v/>
      </c>
    </row>
    <row r="12" customFormat="false" ht="15" hidden="false" customHeight="false" outlineLevel="0" collapsed="false">
      <c r="A12" s="0" t="s">
        <v>73</v>
      </c>
      <c r="B12" s="0" t="s">
        <v>66</v>
      </c>
      <c r="C12" s="3" t="n">
        <v>25.8</v>
      </c>
      <c r="D12" s="3" t="n">
        <v>25.8</v>
      </c>
      <c r="E12" s="3" t="n">
        <v>25.8</v>
      </c>
      <c r="F12" s="3" t="n">
        <v>2</v>
      </c>
      <c r="G12" s="3" t="n">
        <v>2</v>
      </c>
      <c r="H12" s="8" t="n">
        <f aca="false">INDEX(C12:E12,1,CHOOSE(scenario,F12,2,G12))</f>
        <v>25.8</v>
      </c>
      <c r="I12" s="7"/>
      <c r="J12" s="2" t="n">
        <f aca="false">IF(I12&lt;&gt;"",I12,IF(O12&lt;&gt;"",O12,H12))</f>
        <v>25.8</v>
      </c>
      <c r="K12" s="8" t="s">
        <v>53</v>
      </c>
      <c r="L12" s="8" t="s">
        <v>69</v>
      </c>
      <c r="M12" s="8" t="s">
        <v>74</v>
      </c>
      <c r="N12" s="8" t="s">
        <v>56</v>
      </c>
      <c r="O12" s="0" t="str">
        <f aca="false">IFERROR(IF(option_sel=0,"",IF(LEN(INDEX(Opt_Overview!$C$7:$M$38,MATCH($A12,Opt_Overview!$A$7:$A$38,0),option_sel))=0,"",INDEX(Opt_Overview!$C$7:$M$38,MATCH($A12,Opt_Overview!$A$7:$A$38,0),option_sel))),"")</f>
        <v/>
      </c>
    </row>
    <row r="13" customFormat="false" ht="15" hidden="false" customHeight="false" outlineLevel="0" collapsed="false">
      <c r="A13" s="0" t="s">
        <v>75</v>
      </c>
      <c r="B13" s="0" t="s">
        <v>66</v>
      </c>
      <c r="C13" s="3" t="n">
        <v>7</v>
      </c>
      <c r="D13" s="3" t="n">
        <v>9.3</v>
      </c>
      <c r="E13" s="3" t="n">
        <v>11.6</v>
      </c>
      <c r="F13" s="3" t="n">
        <v>1</v>
      </c>
      <c r="G13" s="3" t="n">
        <v>3</v>
      </c>
      <c r="H13" s="8" t="n">
        <f aca="false">INDEX(C13:E13,1,CHOOSE(scenario,F13,2,G13))</f>
        <v>9.3</v>
      </c>
      <c r="I13" s="7"/>
      <c r="J13" s="2" t="n">
        <f aca="false">IF(I13&lt;&gt;"",I13,IF(O13&lt;&gt;"",O13,H13))</f>
        <v>9.3</v>
      </c>
      <c r="K13" s="8" t="s">
        <v>62</v>
      </c>
      <c r="L13" s="8" t="s">
        <v>76</v>
      </c>
      <c r="M13" s="8" t="s">
        <v>77</v>
      </c>
      <c r="N13" s="8" t="s">
        <v>78</v>
      </c>
      <c r="O13" s="0" t="str">
        <f aca="false">IFERROR(IF(option_sel=0,"",IF(LEN(INDEX(Opt_Overview!$C$7:$M$38,MATCH($A13,Opt_Overview!$A$7:$A$38,0),option_sel))=0,"",INDEX(Opt_Overview!$C$7:$M$38,MATCH($A13,Opt_Overview!$A$7:$A$38,0),option_sel))),"")</f>
        <v/>
      </c>
    </row>
    <row r="14" customFormat="false" ht="15" hidden="false" customHeight="false" outlineLevel="0" collapsed="false">
      <c r="A14" s="0" t="s">
        <v>79</v>
      </c>
      <c r="B14" s="0" t="s">
        <v>66</v>
      </c>
      <c r="C14" s="3" t="n">
        <v>0</v>
      </c>
      <c r="D14" s="3" t="n">
        <v>20</v>
      </c>
      <c r="E14" s="3" t="n">
        <v>50</v>
      </c>
      <c r="F14" s="3" t="n">
        <v>1</v>
      </c>
      <c r="G14" s="3" t="n">
        <v>3</v>
      </c>
      <c r="H14" s="8" t="n">
        <f aca="false">INDEX(C14:E14,1,CHOOSE(scenario,F14,2,G14))</f>
        <v>20</v>
      </c>
      <c r="I14" s="7"/>
      <c r="J14" s="2" t="n">
        <f aca="false">IF(I14&lt;&gt;"",I14,IF(O14&lt;&gt;"",O14,H14))</f>
        <v>20</v>
      </c>
      <c r="K14" s="8" t="s">
        <v>53</v>
      </c>
      <c r="L14" s="8" t="s">
        <v>80</v>
      </c>
      <c r="N14" s="8" t="s">
        <v>78</v>
      </c>
      <c r="O14" s="0" t="str">
        <f aca="false">IFERROR(IF(option_sel=0,"",IF(LEN(INDEX(Opt_Overview!$C$7:$M$38,MATCH($A14,Opt_Overview!$A$7:$A$38,0),option_sel))=0,"",INDEX(Opt_Overview!$C$7:$M$38,MATCH($A14,Opt_Overview!$A$7:$A$38,0),option_sel))),"")</f>
        <v/>
      </c>
    </row>
    <row r="15" customFormat="false" ht="15" hidden="false" customHeight="false" outlineLevel="0" collapsed="false">
      <c r="A15" s="0" t="s">
        <v>81</v>
      </c>
      <c r="B15" s="0" t="s">
        <v>82</v>
      </c>
      <c r="C15" s="3" t="n">
        <v>0</v>
      </c>
      <c r="D15" s="3" t="n">
        <v>0.4</v>
      </c>
      <c r="E15" s="3" t="n">
        <v>1.5</v>
      </c>
      <c r="F15" s="3" t="n">
        <v>1</v>
      </c>
      <c r="G15" s="3" t="n">
        <v>3</v>
      </c>
      <c r="H15" s="8" t="n">
        <f aca="false">INDEX(C15:E15,1,CHOOSE(scenario,F15,2,G15))</f>
        <v>0.4</v>
      </c>
      <c r="I15" s="7"/>
      <c r="J15" s="2" t="n">
        <f aca="false">IF(I15&lt;&gt;"",I15,IF(O15&lt;&gt;"",O15,H15))</f>
        <v>0.4</v>
      </c>
      <c r="K15" s="8" t="s">
        <v>53</v>
      </c>
      <c r="L15" s="8" t="s">
        <v>83</v>
      </c>
      <c r="M15" s="8" t="s">
        <v>84</v>
      </c>
      <c r="N15" s="8" t="s">
        <v>78</v>
      </c>
      <c r="O15" s="0" t="str">
        <f aca="false">IFERROR(IF(option_sel=0,"",IF(LEN(INDEX(Opt_Overview!$C$7:$M$38,MATCH($A15,Opt_Overview!$A$7:$A$38,0),option_sel))=0,"",INDEX(Opt_Overview!$C$7:$M$38,MATCH($A15,Opt_Overview!$A$7:$A$38,0),option_sel))),"")</f>
        <v/>
      </c>
    </row>
    <row r="16" customFormat="false" ht="15" hidden="false" customHeight="false" outlineLevel="0" collapsed="false">
      <c r="A16" s="0" t="s">
        <v>85</v>
      </c>
      <c r="B16" s="0" t="s">
        <v>86</v>
      </c>
      <c r="C16" s="3" t="n">
        <v>100</v>
      </c>
      <c r="D16" s="3" t="n">
        <v>120</v>
      </c>
      <c r="E16" s="3" t="n">
        <v>150</v>
      </c>
      <c r="F16" s="3" t="n">
        <v>2</v>
      </c>
      <c r="G16" s="3" t="n">
        <v>2</v>
      </c>
      <c r="H16" s="8" t="n">
        <f aca="false">INDEX(C16:E16,1,CHOOSE(scenario,F16,2,G16))</f>
        <v>120</v>
      </c>
      <c r="I16" s="7"/>
      <c r="J16" s="2" t="n">
        <f aca="false">IF(I16&lt;&gt;"",I16,IF(O16&lt;&gt;"",O16,H16))</f>
        <v>120</v>
      </c>
      <c r="K16" s="8" t="s">
        <v>62</v>
      </c>
      <c r="L16" s="8" t="s">
        <v>87</v>
      </c>
      <c r="M16" s="8" t="s">
        <v>88</v>
      </c>
      <c r="N16" s="8" t="s">
        <v>56</v>
      </c>
      <c r="O16" s="0" t="str">
        <f aca="false">IFERROR(IF(option_sel=0,"",IF(LEN(INDEX(Opt_Overview!$C$7:$M$38,MATCH($A16,Opt_Overview!$A$7:$A$38,0),option_sel))=0,"",INDEX(Opt_Overview!$C$7:$M$38,MATCH($A16,Opt_Overview!$A$7:$A$38,0),option_sel))),"")</f>
        <v/>
      </c>
    </row>
    <row r="17" customFormat="false" ht="15" hidden="false" customHeight="false" outlineLevel="0" collapsed="false">
      <c r="A17" s="0" t="s">
        <v>89</v>
      </c>
      <c r="B17" s="0" t="s">
        <v>90</v>
      </c>
      <c r="C17" s="3" t="n">
        <v>200000</v>
      </c>
      <c r="D17" s="3" t="n">
        <v>240000</v>
      </c>
      <c r="E17" s="3" t="n">
        <v>280000</v>
      </c>
      <c r="F17" s="3" t="n">
        <v>2</v>
      </c>
      <c r="G17" s="3" t="n">
        <v>2</v>
      </c>
      <c r="H17" s="8" t="n">
        <f aca="false">INDEX(C17:E17,1,CHOOSE(scenario,F17,2,G17))</f>
        <v>240000</v>
      </c>
      <c r="I17" s="7"/>
      <c r="J17" s="2" t="n">
        <f aca="false">IF(I17&lt;&gt;"",I17,IF(O17&lt;&gt;"",O17,H17))</f>
        <v>240000</v>
      </c>
      <c r="K17" s="8" t="s">
        <v>62</v>
      </c>
      <c r="L17" s="8" t="s">
        <v>87</v>
      </c>
      <c r="M17" s="8" t="s">
        <v>91</v>
      </c>
      <c r="N17" s="8" t="s">
        <v>56</v>
      </c>
      <c r="O17" s="0" t="str">
        <f aca="false">IFERROR(IF(option_sel=0,"",IF(LEN(INDEX(Opt_Overview!$C$7:$M$38,MATCH($A17,Opt_Overview!$A$7:$A$38,0),option_sel))=0,"",INDEX(Opt_Overview!$C$7:$M$38,MATCH($A17,Opt_Overview!$A$7:$A$38,0),option_sel))),"")</f>
        <v/>
      </c>
    </row>
    <row r="18" customFormat="false" ht="15" hidden="false" customHeight="false" outlineLevel="0" collapsed="false">
      <c r="A18" s="0" t="s">
        <v>92</v>
      </c>
      <c r="B18" s="0" t="s">
        <v>90</v>
      </c>
      <c r="C18" s="3" t="n">
        <v>50000</v>
      </c>
      <c r="D18" s="3" t="n">
        <v>70000</v>
      </c>
      <c r="E18" s="3" t="n">
        <v>90000</v>
      </c>
      <c r="F18" s="3" t="n">
        <v>1</v>
      </c>
      <c r="G18" s="3" t="n">
        <v>3</v>
      </c>
      <c r="H18" s="8" t="n">
        <f aca="false">INDEX(C18:E18,1,CHOOSE(scenario,F18,2,G18))</f>
        <v>70000</v>
      </c>
      <c r="I18" s="7"/>
      <c r="J18" s="2" t="n">
        <f aca="false">IF(I18&lt;&gt;"",I18,IF(O18&lt;&gt;"",O18,H18))</f>
        <v>70000</v>
      </c>
      <c r="K18" s="8" t="s">
        <v>62</v>
      </c>
      <c r="L18" s="8" t="s">
        <v>93</v>
      </c>
      <c r="M18" s="8" t="s">
        <v>94</v>
      </c>
      <c r="N18" s="8" t="s">
        <v>78</v>
      </c>
      <c r="O18" s="0" t="str">
        <f aca="false">IFERROR(IF(option_sel=0,"",IF(LEN(INDEX(Opt_Overview!$C$7:$M$38,MATCH($A18,Opt_Overview!$A$7:$A$38,0),option_sel))=0,"",INDEX(Opt_Overview!$C$7:$M$38,MATCH($A18,Opt_Overview!$A$7:$A$38,0),option_sel))),"")</f>
        <v/>
      </c>
    </row>
    <row r="19" customFormat="false" ht="15" hidden="false" customHeight="false" outlineLevel="0" collapsed="false">
      <c r="A19" s="0" t="s">
        <v>95</v>
      </c>
      <c r="B19" s="0" t="s">
        <v>66</v>
      </c>
      <c r="C19" s="3" t="n">
        <v>35</v>
      </c>
      <c r="D19" s="3" t="n">
        <v>50</v>
      </c>
      <c r="E19" s="3" t="n">
        <v>65</v>
      </c>
      <c r="F19" s="3" t="n">
        <v>1</v>
      </c>
      <c r="G19" s="3" t="n">
        <v>3</v>
      </c>
      <c r="H19" s="8" t="n">
        <f aca="false">INDEX(C19:E19,1,CHOOSE(scenario,F19,2,G19))</f>
        <v>50</v>
      </c>
      <c r="I19" s="7"/>
      <c r="J19" s="2" t="n">
        <f aca="false">IF(I19&lt;&gt;"",I19,IF(O19&lt;&gt;"",O19,H19))</f>
        <v>50</v>
      </c>
      <c r="K19" s="8" t="s">
        <v>53</v>
      </c>
      <c r="L19" s="8" t="s">
        <v>96</v>
      </c>
      <c r="M19" s="8" t="s">
        <v>97</v>
      </c>
      <c r="N19" s="8" t="s">
        <v>78</v>
      </c>
      <c r="O19" s="0" t="str">
        <f aca="false">IFERROR(IF(option_sel=0,"",IF(LEN(INDEX(Opt_Overview!$C$7:$M$38,MATCH($A19,Opt_Overview!$A$7:$A$38,0),option_sel))=0,"",INDEX(Opt_Overview!$C$7:$M$38,MATCH($A19,Opt_Overview!$A$7:$A$38,0),option_sel))),"")</f>
        <v/>
      </c>
    </row>
    <row r="20" customFormat="false" ht="15" hidden="false" customHeight="false" outlineLevel="0" collapsed="false">
      <c r="A20" s="0" t="s">
        <v>98</v>
      </c>
      <c r="B20" s="0" t="s">
        <v>66</v>
      </c>
      <c r="C20" s="3" t="n">
        <v>60</v>
      </c>
      <c r="D20" s="3" t="n">
        <v>79</v>
      </c>
      <c r="E20" s="3" t="n">
        <v>90</v>
      </c>
      <c r="F20" s="3" t="n">
        <v>1</v>
      </c>
      <c r="G20" s="3" t="n">
        <v>3</v>
      </c>
      <c r="H20" s="8" t="n">
        <f aca="false">INDEX(C20:E20,1,CHOOSE(scenario,F20,2,G20))</f>
        <v>79</v>
      </c>
      <c r="I20" s="7"/>
      <c r="J20" s="2" t="n">
        <f aca="false">IF(I20&lt;&gt;"",I20,IF(O20&lt;&gt;"",O20,H20))</f>
        <v>79</v>
      </c>
      <c r="K20" s="8" t="s">
        <v>53</v>
      </c>
      <c r="L20" s="8" t="s">
        <v>96</v>
      </c>
      <c r="M20" s="8" t="s">
        <v>99</v>
      </c>
      <c r="N20" s="8" t="s">
        <v>78</v>
      </c>
      <c r="O20" s="0" t="str">
        <f aca="false">IFERROR(IF(option_sel=0,"",IF(LEN(INDEX(Opt_Overview!$C$7:$M$38,MATCH($A20,Opt_Overview!$A$7:$A$38,0),option_sel))=0,"",INDEX(Opt_Overview!$C$7:$M$38,MATCH($A20,Opt_Overview!$A$7:$A$38,0),option_sel))),"")</f>
        <v/>
      </c>
    </row>
    <row r="21" customFormat="false" ht="15" hidden="false" customHeight="false" outlineLevel="0" collapsed="false">
      <c r="A21" s="0" t="s">
        <v>100</v>
      </c>
      <c r="B21" s="0" t="s">
        <v>66</v>
      </c>
      <c r="C21" s="3" t="n">
        <v>85</v>
      </c>
      <c r="D21" s="3" t="n">
        <v>100</v>
      </c>
      <c r="E21" s="3" t="n">
        <v>100</v>
      </c>
      <c r="F21" s="3" t="n">
        <v>1</v>
      </c>
      <c r="G21" s="3" t="n">
        <v>3</v>
      </c>
      <c r="H21" s="8" t="n">
        <f aca="false">INDEX(C21:E21,1,CHOOSE(scenario,F21,2,G21))</f>
        <v>100</v>
      </c>
      <c r="I21" s="7"/>
      <c r="J21" s="2" t="n">
        <f aca="false">IF(I21&lt;&gt;"",I21,IF(O21&lt;&gt;"",O21,H21))</f>
        <v>100</v>
      </c>
      <c r="K21" s="8" t="s">
        <v>53</v>
      </c>
      <c r="L21" s="8" t="s">
        <v>96</v>
      </c>
      <c r="M21" s="8" t="s">
        <v>101</v>
      </c>
      <c r="N21" s="8" t="s">
        <v>78</v>
      </c>
      <c r="O21" s="0" t="str">
        <f aca="false">IFERROR(IF(option_sel=0,"",IF(LEN(INDEX(Opt_Overview!$C$7:$M$38,MATCH($A21,Opt_Overview!$A$7:$A$38,0),option_sel))=0,"",INDEX(Opt_Overview!$C$7:$M$38,MATCH($A21,Opt_Overview!$A$7:$A$38,0),option_sel))),"")</f>
        <v/>
      </c>
    </row>
    <row r="22" customFormat="false" ht="15" hidden="false" customHeight="false" outlineLevel="0" collapsed="false">
      <c r="A22" s="0" t="s">
        <v>102</v>
      </c>
      <c r="B22" s="0" t="s">
        <v>66</v>
      </c>
      <c r="C22" s="3" t="n">
        <v>40</v>
      </c>
      <c r="D22" s="3" t="n">
        <v>60</v>
      </c>
      <c r="E22" s="3" t="n">
        <v>80</v>
      </c>
      <c r="F22" s="3" t="n">
        <v>1</v>
      </c>
      <c r="G22" s="3" t="n">
        <v>3</v>
      </c>
      <c r="H22" s="8" t="n">
        <f aca="false">INDEX(C22:E22,1,CHOOSE(scenario,F22,2,G22))</f>
        <v>60</v>
      </c>
      <c r="I22" s="7"/>
      <c r="J22" s="2" t="n">
        <f aca="false">IF(I22&lt;&gt;"",I22,IF(O22&lt;&gt;"",O22,H22))</f>
        <v>60</v>
      </c>
      <c r="K22" s="8" t="s">
        <v>53</v>
      </c>
      <c r="L22" s="8" t="s">
        <v>103</v>
      </c>
      <c r="M22" s="8" t="s">
        <v>104</v>
      </c>
      <c r="N22" s="8" t="s">
        <v>78</v>
      </c>
      <c r="O22" s="0" t="str">
        <f aca="false">IFERROR(IF(option_sel=0,"",IF(LEN(INDEX(Opt_Overview!$C$7:$M$38,MATCH($A22,Opt_Overview!$A$7:$A$38,0),option_sel))=0,"",INDEX(Opt_Overview!$C$7:$M$38,MATCH($A22,Opt_Overview!$A$7:$A$38,0),option_sel))),"")</f>
        <v/>
      </c>
    </row>
    <row r="23" customFormat="false" ht="15" hidden="false" customHeight="false" outlineLevel="0" collapsed="false">
      <c r="A23" s="0" t="s">
        <v>105</v>
      </c>
      <c r="B23" s="0" t="s">
        <v>66</v>
      </c>
      <c r="C23" s="3" t="n">
        <v>30</v>
      </c>
      <c r="D23" s="3" t="n">
        <v>40</v>
      </c>
      <c r="E23" s="3" t="n">
        <v>50</v>
      </c>
      <c r="F23" s="3" t="n">
        <v>1</v>
      </c>
      <c r="G23" s="3" t="n">
        <v>3</v>
      </c>
      <c r="H23" s="8" t="n">
        <f aca="false">INDEX(C23:E23,1,CHOOSE(scenario,F23,2,G23))</f>
        <v>40</v>
      </c>
      <c r="I23" s="7"/>
      <c r="J23" s="2" t="n">
        <f aca="false">IF(I23&lt;&gt;"",I23,IF(O23&lt;&gt;"",O23,H23))</f>
        <v>40</v>
      </c>
      <c r="K23" s="8" t="s">
        <v>62</v>
      </c>
      <c r="L23" s="8" t="s">
        <v>106</v>
      </c>
      <c r="M23" s="8" t="s">
        <v>107</v>
      </c>
      <c r="N23" s="8" t="s">
        <v>78</v>
      </c>
      <c r="O23" s="0" t="str">
        <f aca="false">IFERROR(IF(option_sel=0,"",IF(LEN(INDEX(Opt_Overview!$C$7:$M$38,MATCH($A23,Opt_Overview!$A$7:$A$38,0),option_sel))=0,"",INDEX(Opt_Overview!$C$7:$M$38,MATCH($A23,Opt_Overview!$A$7:$A$38,0),option_sel))),"")</f>
        <v/>
      </c>
    </row>
    <row r="24" customFormat="false" ht="15" hidden="false" customHeight="false" outlineLevel="0" collapsed="false">
      <c r="A24" s="0" t="s">
        <v>108</v>
      </c>
      <c r="B24" s="0" t="s">
        <v>109</v>
      </c>
      <c r="C24" s="3" t="n">
        <v>220</v>
      </c>
      <c r="D24" s="3" t="n">
        <v>235</v>
      </c>
      <c r="E24" s="3" t="n">
        <v>250</v>
      </c>
      <c r="F24" s="3" t="n">
        <v>2</v>
      </c>
      <c r="G24" s="3" t="n">
        <v>2</v>
      </c>
      <c r="H24" s="8" t="n">
        <f aca="false">INDEX(C24:E24,1,CHOOSE(scenario,F24,2,G24))</f>
        <v>235</v>
      </c>
      <c r="I24" s="7"/>
      <c r="J24" s="2" t="n">
        <f aca="false">IF(I24&lt;&gt;"",I24,IF(O24&lt;&gt;"",O24,H24))</f>
        <v>235</v>
      </c>
      <c r="K24" s="8" t="s">
        <v>53</v>
      </c>
      <c r="L24" s="8" t="s">
        <v>110</v>
      </c>
      <c r="N24" s="8" t="s">
        <v>56</v>
      </c>
      <c r="O24" s="0" t="str">
        <f aca="false">IFERROR(IF(option_sel=0,"",IF(LEN(INDEX(Opt_Overview!$C$7:$M$38,MATCH($A24,Opt_Overview!$A$7:$A$38,0),option_sel))=0,"",INDEX(Opt_Overview!$C$7:$M$38,MATCH($A24,Opt_Overview!$A$7:$A$38,0),option_sel))),"")</f>
        <v/>
      </c>
    </row>
    <row r="25" customFormat="false" ht="15" hidden="false" customHeight="false" outlineLevel="0" collapsed="false">
      <c r="A25" s="0" t="s">
        <v>111</v>
      </c>
      <c r="B25" s="0" t="s">
        <v>82</v>
      </c>
      <c r="C25" s="3" t="n">
        <v>3</v>
      </c>
      <c r="D25" s="3" t="n">
        <v>4</v>
      </c>
      <c r="E25" s="3" t="n">
        <v>5.5</v>
      </c>
      <c r="F25" s="3" t="n">
        <v>3</v>
      </c>
      <c r="G25" s="3" t="n">
        <v>1</v>
      </c>
      <c r="H25" s="8" t="n">
        <f aca="false">INDEX(C25:E25,1,CHOOSE(scenario,F25,2,G25))</f>
        <v>4</v>
      </c>
      <c r="I25" s="7"/>
      <c r="J25" s="2" t="n">
        <f aca="false">IF(I25&lt;&gt;"",I25,IF(O25&lt;&gt;"",O25,H25))</f>
        <v>4</v>
      </c>
      <c r="K25" s="8" t="s">
        <v>53</v>
      </c>
      <c r="L25" s="8" t="s">
        <v>112</v>
      </c>
      <c r="M25" s="8" t="s">
        <v>113</v>
      </c>
      <c r="N25" s="8" t="s">
        <v>114</v>
      </c>
      <c r="O25" s="0" t="str">
        <f aca="false">IFERROR(IF(option_sel=0,"",IF(LEN(INDEX(Opt_Overview!$C$7:$M$38,MATCH($A25,Opt_Overview!$A$7:$A$38,0),option_sel))=0,"",INDEX(Opt_Overview!$C$7:$M$38,MATCH($A25,Opt_Overview!$A$7:$A$38,0),option_sel))),"")</f>
        <v/>
      </c>
    </row>
    <row r="26" customFormat="false" ht="15" hidden="false" customHeight="false" outlineLevel="0" collapsed="false">
      <c r="A26" s="0" t="s">
        <v>115</v>
      </c>
      <c r="B26" s="0" t="s">
        <v>82</v>
      </c>
      <c r="C26" s="3" t="n">
        <v>0.6</v>
      </c>
      <c r="D26" s="3" t="n">
        <v>1</v>
      </c>
      <c r="E26" s="3" t="n">
        <v>1.8</v>
      </c>
      <c r="F26" s="3" t="n">
        <v>3</v>
      </c>
      <c r="G26" s="3" t="n">
        <v>1</v>
      </c>
      <c r="H26" s="8" t="n">
        <f aca="false">INDEX(C26:E26,1,CHOOSE(scenario,F26,2,G26))</f>
        <v>1</v>
      </c>
      <c r="I26" s="7"/>
      <c r="J26" s="2" t="n">
        <f aca="false">IF(I26&lt;&gt;"",I26,IF(O26&lt;&gt;"",O26,H26))</f>
        <v>1</v>
      </c>
      <c r="K26" s="8" t="s">
        <v>53</v>
      </c>
      <c r="L26" s="8" t="s">
        <v>112</v>
      </c>
      <c r="M26" s="8" t="s">
        <v>116</v>
      </c>
      <c r="N26" s="8" t="s">
        <v>114</v>
      </c>
      <c r="O26" s="0" t="str">
        <f aca="false">IFERROR(IF(option_sel=0,"",IF(LEN(INDEX(Opt_Overview!$C$7:$M$38,MATCH($A26,Opt_Overview!$A$7:$A$38,0),option_sel))=0,"",INDEX(Opt_Overview!$C$7:$M$38,MATCH($A26,Opt_Overview!$A$7:$A$38,0),option_sel))),"")</f>
        <v/>
      </c>
    </row>
    <row r="27" customFormat="false" ht="15" hidden="false" customHeight="false" outlineLevel="0" collapsed="false">
      <c r="A27" s="0" t="s">
        <v>117</v>
      </c>
      <c r="B27" s="0" t="s">
        <v>82</v>
      </c>
      <c r="C27" s="3" t="n">
        <v>0.4</v>
      </c>
      <c r="D27" s="3" t="n">
        <v>0.5</v>
      </c>
      <c r="E27" s="3" t="n">
        <v>0.7</v>
      </c>
      <c r="F27" s="3" t="n">
        <v>3</v>
      </c>
      <c r="G27" s="3" t="n">
        <v>1</v>
      </c>
      <c r="H27" s="8" t="n">
        <f aca="false">INDEX(C27:E27,1,CHOOSE(scenario,F27,2,G27))</f>
        <v>0.5</v>
      </c>
      <c r="I27" s="7"/>
      <c r="J27" s="2" t="n">
        <f aca="false">IF(I27&lt;&gt;"",I27,IF(O27&lt;&gt;"",O27,H27))</f>
        <v>0.5</v>
      </c>
      <c r="K27" s="8" t="s">
        <v>53</v>
      </c>
      <c r="L27" s="8" t="s">
        <v>118</v>
      </c>
      <c r="M27" s="8" t="s">
        <v>119</v>
      </c>
      <c r="N27" s="8" t="s">
        <v>114</v>
      </c>
      <c r="O27" s="0" t="str">
        <f aca="false">IFERROR(IF(option_sel=0,"",IF(LEN(INDEX(Opt_Overview!$C$7:$M$38,MATCH($A27,Opt_Overview!$A$7:$A$38,0),option_sel))=0,"",INDEX(Opt_Overview!$C$7:$M$38,MATCH($A27,Opt_Overview!$A$7:$A$38,0),option_sel))),"")</f>
        <v/>
      </c>
    </row>
    <row r="28" customFormat="false" ht="15" hidden="false" customHeight="false" outlineLevel="0" collapsed="false">
      <c r="A28" s="0" t="s">
        <v>120</v>
      </c>
      <c r="B28" s="0" t="s">
        <v>72</v>
      </c>
      <c r="C28" s="3" t="n">
        <v>40000</v>
      </c>
      <c r="D28" s="3" t="n">
        <v>80000</v>
      </c>
      <c r="E28" s="3" t="n">
        <v>160000</v>
      </c>
      <c r="F28" s="3" t="n">
        <v>3</v>
      </c>
      <c r="G28" s="3" t="n">
        <v>1</v>
      </c>
      <c r="H28" s="8" t="n">
        <f aca="false">INDEX(C28:E28,1,CHOOSE(scenario,F28,2,G28))</f>
        <v>80000</v>
      </c>
      <c r="I28" s="7"/>
      <c r="J28" s="2" t="n">
        <f aca="false">IF(I28&lt;&gt;"",I28,IF(O28&lt;&gt;"",O28,H28))</f>
        <v>80000</v>
      </c>
      <c r="K28" s="8" t="s">
        <v>53</v>
      </c>
      <c r="L28" s="8" t="s">
        <v>121</v>
      </c>
      <c r="M28" s="8" t="s">
        <v>122</v>
      </c>
      <c r="N28" s="8" t="s">
        <v>114</v>
      </c>
      <c r="O28" s="0" t="str">
        <f aca="false">IFERROR(IF(option_sel=0,"",IF(LEN(INDEX(Opt_Overview!$C$7:$M$38,MATCH($A28,Opt_Overview!$A$7:$A$38,0),option_sel))=0,"",INDEX(Opt_Overview!$C$7:$M$38,MATCH($A28,Opt_Overview!$A$7:$A$38,0),option_sel))),"")</f>
        <v/>
      </c>
    </row>
    <row r="29" customFormat="false" ht="15" hidden="false" customHeight="false" outlineLevel="0" collapsed="false">
      <c r="A29" s="0" t="s">
        <v>123</v>
      </c>
      <c r="B29" s="0" t="s">
        <v>72</v>
      </c>
      <c r="C29" s="3" t="n">
        <v>200000</v>
      </c>
      <c r="D29" s="3" t="n">
        <v>300000</v>
      </c>
      <c r="E29" s="3" t="n">
        <v>500000</v>
      </c>
      <c r="F29" s="3" t="n">
        <v>3</v>
      </c>
      <c r="G29" s="3" t="n">
        <v>1</v>
      </c>
      <c r="H29" s="8" t="n">
        <f aca="false">INDEX(C29:E29,1,CHOOSE(scenario,F29,2,G29))</f>
        <v>300000</v>
      </c>
      <c r="I29" s="7"/>
      <c r="J29" s="2" t="n">
        <f aca="false">IF(I29&lt;&gt;"",I29,IF(O29&lt;&gt;"",O29,H29))</f>
        <v>300000</v>
      </c>
      <c r="K29" s="8" t="s">
        <v>53</v>
      </c>
      <c r="L29" s="8" t="s">
        <v>124</v>
      </c>
      <c r="M29" s="8" t="s">
        <v>125</v>
      </c>
      <c r="N29" s="8" t="s">
        <v>114</v>
      </c>
      <c r="O29" s="0" t="str">
        <f aca="false">IFERROR(IF(option_sel=0,"",IF(LEN(INDEX(Opt_Overview!$C$7:$M$38,MATCH($A29,Opt_Overview!$A$7:$A$38,0),option_sel))=0,"",INDEX(Opt_Overview!$C$7:$M$38,MATCH($A29,Opt_Overview!$A$7:$A$38,0),option_sel))),"")</f>
        <v/>
      </c>
    </row>
    <row r="30" customFormat="false" ht="15" hidden="false" customHeight="false" outlineLevel="0" collapsed="false">
      <c r="A30" s="0" t="s">
        <v>126</v>
      </c>
      <c r="B30" s="0" t="s">
        <v>82</v>
      </c>
      <c r="C30" s="3" t="n">
        <v>1</v>
      </c>
      <c r="D30" s="3" t="n">
        <v>1.08</v>
      </c>
      <c r="E30" s="3" t="n">
        <v>1.2</v>
      </c>
      <c r="F30" s="3" t="n">
        <v>2</v>
      </c>
      <c r="G30" s="3" t="n">
        <v>2</v>
      </c>
      <c r="H30" s="8" t="n">
        <f aca="false">INDEX(C30:E30,1,CHOOSE(scenario,F30,2,G30))</f>
        <v>1.08</v>
      </c>
      <c r="I30" s="7"/>
      <c r="J30" s="2" t="n">
        <f aca="false">IF(I30&lt;&gt;"",I30,IF(O30&lt;&gt;"",O30,H30))</f>
        <v>1.08</v>
      </c>
      <c r="K30" s="8" t="s">
        <v>62</v>
      </c>
      <c r="L30" s="8" t="s">
        <v>127</v>
      </c>
      <c r="M30" s="8" t="s">
        <v>128</v>
      </c>
      <c r="N30" s="8" t="s">
        <v>56</v>
      </c>
      <c r="O30" s="0" t="str">
        <f aca="false">IFERROR(IF(option_sel=0,"",IF(LEN(INDEX(Opt_Overview!$C$7:$M$38,MATCH($A30,Opt_Overview!$A$7:$A$38,0),option_sel))=0,"",INDEX(Opt_Overview!$C$7:$M$38,MATCH($A30,Opt_Overview!$A$7:$A$38,0),option_sel))),"")</f>
        <v/>
      </c>
    </row>
    <row r="31" customFormat="false" ht="15" hidden="false" customHeight="false" outlineLevel="0" collapsed="false">
      <c r="A31" s="0" t="s">
        <v>129</v>
      </c>
      <c r="B31" s="0" t="s">
        <v>82</v>
      </c>
      <c r="C31" s="3" t="n">
        <v>0</v>
      </c>
      <c r="D31" s="3" t="n">
        <v>0</v>
      </c>
      <c r="E31" s="3" t="n">
        <v>0</v>
      </c>
      <c r="F31" s="3" t="n">
        <v>2</v>
      </c>
      <c r="G31" s="3" t="n">
        <v>2</v>
      </c>
      <c r="H31" s="8" t="n">
        <f aca="false">INDEX(C31:E31,1,CHOOSE(scenario,F31,2,G31))</f>
        <v>0</v>
      </c>
      <c r="I31" s="7"/>
      <c r="J31" s="2" t="n">
        <f aca="false">IF(I31&lt;&gt;"",I31,IF(O31&lt;&gt;"",O31,H31))</f>
        <v>0</v>
      </c>
      <c r="K31" s="8" t="s">
        <v>53</v>
      </c>
      <c r="L31" s="8" t="s">
        <v>130</v>
      </c>
      <c r="M31" s="8" t="s">
        <v>131</v>
      </c>
      <c r="N31" s="8" t="s">
        <v>56</v>
      </c>
      <c r="O31" s="0" t="str">
        <f aca="false">IFERROR(IF(option_sel=0,"",IF(LEN(INDEX(Opt_Overview!$C$7:$M$38,MATCH($A31,Opt_Overview!$A$7:$A$38,0),option_sel))=0,"",INDEX(Opt_Overview!$C$7:$M$38,MATCH($A31,Opt_Overview!$A$7:$A$38,0),option_sel))),"")</f>
        <v/>
      </c>
    </row>
    <row r="32" customFormat="false" ht="15" hidden="false" customHeight="false" outlineLevel="0" collapsed="false">
      <c r="A32" s="0" t="s">
        <v>132</v>
      </c>
      <c r="B32" s="0" t="s">
        <v>133</v>
      </c>
      <c r="C32" s="3" t="n">
        <v>20</v>
      </c>
      <c r="D32" s="3" t="n">
        <v>25</v>
      </c>
      <c r="E32" s="3" t="n">
        <v>30</v>
      </c>
      <c r="F32" s="3" t="n">
        <v>2</v>
      </c>
      <c r="G32" s="3" t="n">
        <v>2</v>
      </c>
      <c r="H32" s="8" t="n">
        <f aca="false">INDEX(C32:E32,1,CHOOSE(scenario,F32,2,G32))</f>
        <v>25</v>
      </c>
      <c r="I32" s="7"/>
      <c r="J32" s="2" t="n">
        <f aca="false">IF(I32&lt;&gt;"",I32,IF(O32&lt;&gt;"",O32,H32))</f>
        <v>25</v>
      </c>
      <c r="K32" s="8" t="s">
        <v>53</v>
      </c>
      <c r="L32" s="8" t="s">
        <v>134</v>
      </c>
      <c r="N32" s="8" t="s">
        <v>56</v>
      </c>
      <c r="O32" s="0" t="str">
        <f aca="false">IFERROR(IF(option_sel=0,"",IF(LEN(INDEX(Opt_Overview!$C$7:$M$38,MATCH($A32,Opt_Overview!$A$7:$A$38,0),option_sel))=0,"",INDEX(Opt_Overview!$C$7:$M$38,MATCH($A32,Opt_Overview!$A$7:$A$38,0),option_sel))),"")</f>
        <v/>
      </c>
    </row>
    <row r="33" customFormat="false" ht="15" hidden="false" customHeight="false" outlineLevel="0" collapsed="false">
      <c r="A33" s="0" t="s">
        <v>135</v>
      </c>
      <c r="B33" s="0" t="s">
        <v>133</v>
      </c>
      <c r="C33" s="3" t="n">
        <v>20</v>
      </c>
      <c r="D33" s="3" t="n">
        <v>25</v>
      </c>
      <c r="E33" s="3" t="n">
        <v>30</v>
      </c>
      <c r="F33" s="3" t="n">
        <v>2</v>
      </c>
      <c r="G33" s="3" t="n">
        <v>2</v>
      </c>
      <c r="H33" s="8" t="n">
        <f aca="false">INDEX(C33:E33,1,CHOOSE(scenario,F33,2,G33))</f>
        <v>25</v>
      </c>
      <c r="I33" s="7"/>
      <c r="J33" s="2" t="n">
        <f aca="false">IF(I33&lt;&gt;"",I33,IF(O33&lt;&gt;"",O33,H33))</f>
        <v>25</v>
      </c>
      <c r="K33" s="8" t="s">
        <v>53</v>
      </c>
      <c r="L33" s="8" t="s">
        <v>134</v>
      </c>
      <c r="N33" s="8" t="s">
        <v>56</v>
      </c>
      <c r="O33" s="0" t="str">
        <f aca="false">IFERROR(IF(option_sel=0,"",IF(LEN(INDEX(Opt_Overview!$C$7:$M$38,MATCH($A33,Opt_Overview!$A$7:$A$38,0),option_sel))=0,"",INDEX(Opt_Overview!$C$7:$M$38,MATCH($A33,Opt_Overview!$A$7:$A$38,0),option_sel))),"")</f>
        <v/>
      </c>
    </row>
    <row r="34" customFormat="false" ht="15" hidden="false" customHeight="false" outlineLevel="0" collapsed="false">
      <c r="A34" s="0" t="s">
        <v>136</v>
      </c>
      <c r="B34" s="0" t="s">
        <v>133</v>
      </c>
      <c r="C34" s="3" t="n">
        <v>10</v>
      </c>
      <c r="D34" s="3" t="n">
        <v>10</v>
      </c>
      <c r="E34" s="3" t="n">
        <v>10</v>
      </c>
      <c r="F34" s="3" t="n">
        <v>2</v>
      </c>
      <c r="G34" s="3" t="n">
        <v>2</v>
      </c>
      <c r="H34" s="8" t="n">
        <f aca="false">INDEX(C34:E34,1,CHOOSE(scenario,F34,2,G34))</f>
        <v>10</v>
      </c>
      <c r="I34" s="7"/>
      <c r="J34" s="2" t="n">
        <f aca="false">IF(I34&lt;&gt;"",I34,IF(O34&lt;&gt;"",O34,H34))</f>
        <v>10</v>
      </c>
      <c r="K34" s="8" t="s">
        <v>53</v>
      </c>
      <c r="L34" s="8" t="s">
        <v>118</v>
      </c>
      <c r="N34" s="8" t="s">
        <v>56</v>
      </c>
      <c r="O34" s="0" t="str">
        <f aca="false">IFERROR(IF(option_sel=0,"",IF(LEN(INDEX(Opt_Overview!$C$7:$M$38,MATCH($A34,Opt_Overview!$A$7:$A$38,0),option_sel))=0,"",INDEX(Opt_Overview!$C$7:$M$38,MATCH($A34,Opt_Overview!$A$7:$A$38,0),option_sel))),"")</f>
        <v/>
      </c>
    </row>
    <row r="35" customFormat="false" ht="15" hidden="false" customHeight="false" outlineLevel="0" collapsed="false">
      <c r="A35" s="0" t="s">
        <v>137</v>
      </c>
      <c r="B35" s="0" t="s">
        <v>66</v>
      </c>
      <c r="C35" s="3" t="n">
        <v>10</v>
      </c>
      <c r="D35" s="3" t="n">
        <v>25</v>
      </c>
      <c r="E35" s="3" t="n">
        <v>40</v>
      </c>
      <c r="F35" s="3" t="n">
        <v>1</v>
      </c>
      <c r="G35" s="3" t="n">
        <v>3</v>
      </c>
      <c r="H35" s="8" t="n">
        <f aca="false">INDEX(C35:E35,1,CHOOSE(scenario,F35,2,G35))</f>
        <v>25</v>
      </c>
      <c r="I35" s="7"/>
      <c r="J35" s="2" t="n">
        <f aca="false">IF(I35&lt;&gt;"",I35,IF(O35&lt;&gt;"",O35,H35))</f>
        <v>25</v>
      </c>
      <c r="K35" s="8" t="s">
        <v>53</v>
      </c>
      <c r="L35" s="8" t="s">
        <v>138</v>
      </c>
      <c r="M35" s="8" t="s">
        <v>139</v>
      </c>
      <c r="N35" s="8" t="s">
        <v>78</v>
      </c>
      <c r="O35" s="0" t="str">
        <f aca="false">IFERROR(IF(option_sel=0,"",IF(LEN(INDEX(Opt_Overview!$C$7:$M$38,MATCH($A35,Opt_Overview!$A$7:$A$38,0),option_sel))=0,"",INDEX(Opt_Overview!$C$7:$M$38,MATCH($A35,Opt_Overview!$A$7:$A$38,0),option_sel))),"")</f>
        <v/>
      </c>
    </row>
    <row r="36" customFormat="false" ht="15" hidden="false" customHeight="false" outlineLevel="0" collapsed="false">
      <c r="A36" s="0" t="s">
        <v>140</v>
      </c>
      <c r="B36" s="0" t="s">
        <v>141</v>
      </c>
      <c r="C36" s="3" t="n">
        <v>45</v>
      </c>
      <c r="D36" s="3" t="n">
        <v>60</v>
      </c>
      <c r="E36" s="3" t="n">
        <v>75</v>
      </c>
      <c r="F36" s="3" t="n">
        <v>3</v>
      </c>
      <c r="G36" s="3" t="n">
        <v>1</v>
      </c>
      <c r="H36" s="8" t="n">
        <f aca="false">INDEX(C36:E36,1,CHOOSE(scenario,F36,2,G36))</f>
        <v>60</v>
      </c>
      <c r="I36" s="7"/>
      <c r="J36" s="2" t="n">
        <f aca="false">IF(I36&lt;&gt;"",I36,IF(O36&lt;&gt;"",O36,H36))</f>
        <v>60</v>
      </c>
      <c r="K36" s="8" t="s">
        <v>53</v>
      </c>
      <c r="L36" s="8" t="s">
        <v>142</v>
      </c>
      <c r="M36" s="8" t="s">
        <v>143</v>
      </c>
      <c r="N36" s="8" t="s">
        <v>114</v>
      </c>
      <c r="O36" s="0" t="str">
        <f aca="false">IFERROR(IF(option_sel=0,"",IF(LEN(INDEX(Opt_Overview!$C$7:$M$38,MATCH($A36,Opt_Overview!$A$7:$A$38,0),option_sel))=0,"",INDEX(Opt_Overview!$C$7:$M$38,MATCH($A36,Opt_Overview!$A$7:$A$38,0),option_sel))),"")</f>
        <v/>
      </c>
    </row>
    <row r="37" customFormat="false" ht="15" hidden="false" customHeight="false" outlineLevel="0" collapsed="false">
      <c r="A37" s="0" t="s">
        <v>144</v>
      </c>
      <c r="B37" s="0" t="s">
        <v>141</v>
      </c>
      <c r="C37" s="3" t="n">
        <v>21</v>
      </c>
      <c r="D37" s="3" t="n">
        <v>30</v>
      </c>
      <c r="E37" s="3" t="n">
        <v>45</v>
      </c>
      <c r="F37" s="3" t="n">
        <v>1</v>
      </c>
      <c r="G37" s="3" t="n">
        <v>3</v>
      </c>
      <c r="H37" s="8" t="n">
        <f aca="false">INDEX(C37:E37,1,CHOOSE(scenario,F37,2,G37))</f>
        <v>30</v>
      </c>
      <c r="I37" s="7"/>
      <c r="J37" s="2" t="n">
        <f aca="false">IF(I37&lt;&gt;"",I37,IF(O37&lt;&gt;"",O37,H37))</f>
        <v>30</v>
      </c>
      <c r="K37" s="8" t="s">
        <v>53</v>
      </c>
      <c r="L37" s="8" t="s">
        <v>142</v>
      </c>
      <c r="M37" s="8" t="s">
        <v>145</v>
      </c>
      <c r="N37" s="8" t="s">
        <v>78</v>
      </c>
      <c r="O37" s="0" t="str">
        <f aca="false">IFERROR(IF(option_sel=0,"",IF(LEN(INDEX(Opt_Overview!$C$7:$M$38,MATCH($A37,Opt_Overview!$A$7:$A$38,0),option_sel))=0,"",INDEX(Opt_Overview!$C$7:$M$38,MATCH($A37,Opt_Overview!$A$7:$A$38,0),option_sel))),"")</f>
        <v/>
      </c>
    </row>
    <row r="38" customFormat="false" ht="15" hidden="false" customHeight="false" outlineLevel="0" collapsed="false">
      <c r="A38" s="0" t="s">
        <v>146</v>
      </c>
      <c r="B38" s="0" t="s">
        <v>141</v>
      </c>
      <c r="C38" s="3" t="n">
        <v>7</v>
      </c>
      <c r="D38" s="3" t="n">
        <v>10</v>
      </c>
      <c r="E38" s="3" t="n">
        <v>15</v>
      </c>
      <c r="F38" s="3" t="n">
        <v>3</v>
      </c>
      <c r="G38" s="3" t="n">
        <v>1</v>
      </c>
      <c r="H38" s="8" t="n">
        <f aca="false">INDEX(C38:E38,1,CHOOSE(scenario,F38,2,G38))</f>
        <v>10</v>
      </c>
      <c r="I38" s="7"/>
      <c r="J38" s="2" t="n">
        <f aca="false">IF(I38&lt;&gt;"",I38,IF(O38&lt;&gt;"",O38,H38))</f>
        <v>10</v>
      </c>
      <c r="K38" s="8" t="s">
        <v>53</v>
      </c>
      <c r="L38" s="8" t="s">
        <v>142</v>
      </c>
      <c r="M38" s="8" t="s">
        <v>147</v>
      </c>
      <c r="N38" s="8" t="s">
        <v>114</v>
      </c>
      <c r="O38" s="0" t="str">
        <f aca="false">IFERROR(IF(option_sel=0,"",IF(LEN(INDEX(Opt_Overview!$C$7:$M$38,MATCH($A38,Opt_Overview!$A$7:$A$38,0),option_sel))=0,"",INDEX(Opt_Overview!$C$7:$M$38,MATCH($A38,Opt_Overview!$A$7:$A$38,0),option_sel))),"")</f>
        <v/>
      </c>
    </row>
    <row r="39" customFormat="false" ht="15" hidden="false" customHeight="false" outlineLevel="0" collapsed="false">
      <c r="A39" s="0" t="s">
        <v>148</v>
      </c>
      <c r="B39" s="0" t="s">
        <v>58</v>
      </c>
      <c r="C39" s="3" t="n">
        <v>0.5</v>
      </c>
      <c r="D39" s="3" t="n">
        <v>1</v>
      </c>
      <c r="E39" s="3" t="n">
        <v>2</v>
      </c>
      <c r="F39" s="3" t="n">
        <v>3</v>
      </c>
      <c r="G39" s="3" t="n">
        <v>1</v>
      </c>
      <c r="H39" s="8" t="n">
        <f aca="false">INDEX(C39:E39,1,CHOOSE(scenario,F39,2,G39))</f>
        <v>1</v>
      </c>
      <c r="I39" s="7"/>
      <c r="J39" s="2" t="n">
        <f aca="false">IF(I39&lt;&gt;"",I39,IF(O39&lt;&gt;"",O39,H39))</f>
        <v>1</v>
      </c>
      <c r="K39" s="8" t="s">
        <v>53</v>
      </c>
      <c r="L39" s="8" t="s">
        <v>149</v>
      </c>
      <c r="M39" s="8" t="s">
        <v>150</v>
      </c>
      <c r="N39" s="8" t="s">
        <v>114</v>
      </c>
      <c r="O39" s="0" t="str">
        <f aca="false">IFERROR(IF(option_sel=0,"",IF(LEN(INDEX(Opt_Overview!$C$7:$M$38,MATCH($A39,Opt_Overview!$A$7:$A$38,0),option_sel))=0,"",INDEX(Opt_Overview!$C$7:$M$38,MATCH($A39,Opt_Overview!$A$7:$A$38,0),option_sel))),"")</f>
        <v/>
      </c>
    </row>
    <row r="40" customFormat="false" ht="15" hidden="false" customHeight="false" outlineLevel="0" collapsed="false">
      <c r="A40" s="0" t="s">
        <v>151</v>
      </c>
      <c r="B40" s="0" t="s">
        <v>152</v>
      </c>
      <c r="C40" s="3" t="n">
        <v>330</v>
      </c>
      <c r="D40" s="3" t="n">
        <v>345</v>
      </c>
      <c r="E40" s="3" t="n">
        <v>360</v>
      </c>
      <c r="F40" s="3" t="n">
        <v>2</v>
      </c>
      <c r="G40" s="3" t="n">
        <v>2</v>
      </c>
      <c r="H40" s="8" t="n">
        <f aca="false">INDEX(C40:E40,1,CHOOSE(scenario,F40,2,G40))</f>
        <v>345</v>
      </c>
      <c r="I40" s="7"/>
      <c r="J40" s="2" t="n">
        <f aca="false">IF(I40&lt;&gt;"",I40,IF(O40&lt;&gt;"",O40,H40))</f>
        <v>345</v>
      </c>
      <c r="K40" s="8" t="s">
        <v>62</v>
      </c>
      <c r="L40" s="8" t="s">
        <v>153</v>
      </c>
      <c r="M40" s="8" t="s">
        <v>154</v>
      </c>
      <c r="N40" s="8" t="s">
        <v>56</v>
      </c>
      <c r="O40" s="0" t="str">
        <f aca="false">IFERROR(IF(option_sel=0,"",IF(LEN(INDEX(Opt_Overview!$C$7:$M$38,MATCH($A40,Opt_Overview!$A$7:$A$38,0),option_sel))=0,"",INDEX(Opt_Overview!$C$7:$M$38,MATCH($A40,Opt_Overview!$A$7:$A$38,0),option_sel))),"")</f>
        <v/>
      </c>
    </row>
    <row r="41" customFormat="false" ht="15" hidden="false" customHeight="false" outlineLevel="0" collapsed="false">
      <c r="A41" s="0" t="s">
        <v>155</v>
      </c>
      <c r="B41" s="0" t="s">
        <v>152</v>
      </c>
      <c r="C41" s="3" t="n">
        <v>870</v>
      </c>
      <c r="D41" s="3" t="n">
        <v>620</v>
      </c>
      <c r="E41" s="3" t="n">
        <v>620</v>
      </c>
      <c r="F41" s="3" t="n">
        <v>2</v>
      </c>
      <c r="G41" s="3" t="n">
        <v>2</v>
      </c>
      <c r="H41" s="8" t="n">
        <f aca="false">INDEX(C41:E41,1,CHOOSE(scenario,F41,2,G41))</f>
        <v>620</v>
      </c>
      <c r="I41" s="7"/>
      <c r="J41" s="2" t="n">
        <f aca="false">IF(I41&lt;&gt;"",I41,IF(O41&lt;&gt;"",O41,H41))</f>
        <v>620</v>
      </c>
      <c r="K41" s="8" t="s">
        <v>62</v>
      </c>
      <c r="L41" s="8" t="s">
        <v>153</v>
      </c>
      <c r="M41" s="8" t="s">
        <v>156</v>
      </c>
      <c r="N41" s="8" t="s">
        <v>56</v>
      </c>
      <c r="O41" s="0" t="str">
        <f aca="false">IFERROR(IF(option_sel=0,"",IF(LEN(INDEX(Opt_Overview!$C$7:$M$38,MATCH($A41,Opt_Overview!$A$7:$A$38,0),option_sel))=0,"",INDEX(Opt_Overview!$C$7:$M$38,MATCH($A41,Opt_Overview!$A$7:$A$38,0),option_sel))),"")</f>
        <v/>
      </c>
    </row>
    <row r="42" customFormat="false" ht="15" hidden="false" customHeight="false" outlineLevel="0" collapsed="false">
      <c r="A42" s="0" t="s">
        <v>157</v>
      </c>
      <c r="B42" s="0" t="s">
        <v>152</v>
      </c>
      <c r="C42" s="3" t="n">
        <v>330</v>
      </c>
      <c r="D42" s="3" t="n">
        <v>560</v>
      </c>
      <c r="E42" s="3" t="n">
        <v>560</v>
      </c>
      <c r="F42" s="3" t="n">
        <v>2</v>
      </c>
      <c r="G42" s="3" t="n">
        <v>2</v>
      </c>
      <c r="H42" s="8" t="n">
        <f aca="false">INDEX(C42:E42,1,CHOOSE(scenario,F42,2,G42))</f>
        <v>560</v>
      </c>
      <c r="I42" s="7"/>
      <c r="J42" s="2" t="n">
        <f aca="false">IF(I42&lt;&gt;"",I42,IF(O42&lt;&gt;"",O42,H42))</f>
        <v>560</v>
      </c>
      <c r="K42" s="8" t="s">
        <v>62</v>
      </c>
      <c r="L42" s="8" t="s">
        <v>153</v>
      </c>
      <c r="M42" s="8" t="s">
        <v>158</v>
      </c>
      <c r="N42" s="8" t="s">
        <v>56</v>
      </c>
      <c r="O42" s="0" t="str">
        <f aca="false">IFERROR(IF(option_sel=0,"",IF(LEN(INDEX(Opt_Overview!$C$7:$M$38,MATCH($A42,Opt_Overview!$A$7:$A$38,0),option_sel))=0,"",INDEX(Opt_Overview!$C$7:$M$38,MATCH($A42,Opt_Overview!$A$7:$A$38,0),option_sel))),"")</f>
        <v/>
      </c>
    </row>
    <row r="43" customFormat="false" ht="15" hidden="false" customHeight="false" outlineLevel="0" collapsed="false">
      <c r="A43" s="0" t="s">
        <v>159</v>
      </c>
      <c r="B43" s="0" t="s">
        <v>152</v>
      </c>
      <c r="C43" s="3" t="n">
        <v>630</v>
      </c>
      <c r="D43" s="3" t="n">
        <v>630</v>
      </c>
      <c r="E43" s="3" t="n">
        <v>480</v>
      </c>
      <c r="F43" s="3" t="n">
        <v>2</v>
      </c>
      <c r="G43" s="3" t="n">
        <v>2</v>
      </c>
      <c r="H43" s="8" t="n">
        <f aca="false">INDEX(C43:E43,1,CHOOSE(scenario,F43,2,G43))</f>
        <v>630</v>
      </c>
      <c r="I43" s="7"/>
      <c r="J43" s="2" t="n">
        <f aca="false">IF(I43&lt;&gt;"",I43,IF(O43&lt;&gt;"",O43,H43))</f>
        <v>630</v>
      </c>
      <c r="K43" s="8" t="s">
        <v>62</v>
      </c>
      <c r="L43" s="8" t="s">
        <v>153</v>
      </c>
      <c r="M43" s="8" t="s">
        <v>160</v>
      </c>
      <c r="N43" s="8" t="s">
        <v>56</v>
      </c>
      <c r="O43" s="0" t="str">
        <f aca="false">IFERROR(IF(option_sel=0,"",IF(LEN(INDEX(Opt_Overview!$C$7:$M$38,MATCH($A43,Opt_Overview!$A$7:$A$38,0),option_sel))=0,"",INDEX(Opt_Overview!$C$7:$M$38,MATCH($A43,Opt_Overview!$A$7:$A$38,0),option_sel))),"")</f>
        <v/>
      </c>
    </row>
    <row r="44" customFormat="false" ht="15" hidden="false" customHeight="false" outlineLevel="0" collapsed="false">
      <c r="A44" s="0" t="s">
        <v>161</v>
      </c>
      <c r="B44" s="0" t="s">
        <v>152</v>
      </c>
      <c r="C44" s="3" t="n">
        <v>0</v>
      </c>
      <c r="D44" s="3" t="n">
        <v>0</v>
      </c>
      <c r="E44" s="3" t="n">
        <v>150</v>
      </c>
      <c r="F44" s="3" t="n">
        <v>2</v>
      </c>
      <c r="G44" s="3" t="n">
        <v>2</v>
      </c>
      <c r="H44" s="8" t="n">
        <f aca="false">INDEX(C44:E44,1,CHOOSE(scenario,F44,2,G44))</f>
        <v>0</v>
      </c>
      <c r="I44" s="7"/>
      <c r="J44" s="2" t="n">
        <f aca="false">IF(I44&lt;&gt;"",I44,IF(O44&lt;&gt;"",O44,H44))</f>
        <v>0</v>
      </c>
      <c r="K44" s="8" t="s">
        <v>62</v>
      </c>
      <c r="L44" s="8" t="s">
        <v>153</v>
      </c>
      <c r="M44" s="8" t="s">
        <v>162</v>
      </c>
      <c r="N44" s="8" t="s">
        <v>56</v>
      </c>
      <c r="O44" s="0" t="str">
        <f aca="false">IFERROR(IF(option_sel=0,"",IF(LEN(INDEX(Opt_Overview!$C$7:$M$38,MATCH($A44,Opt_Overview!$A$7:$A$38,0),option_sel))=0,"",INDEX(Opt_Overview!$C$7:$M$38,MATCH($A44,Opt_Overview!$A$7:$A$38,0),option_sel))),"")</f>
        <v/>
      </c>
    </row>
    <row r="45" customFormat="false" ht="15" hidden="false" customHeight="false" outlineLevel="0" collapsed="false">
      <c r="A45" s="0" t="s">
        <v>163</v>
      </c>
      <c r="B45" s="0" t="s">
        <v>164</v>
      </c>
      <c r="C45" s="3" t="n">
        <v>165</v>
      </c>
      <c r="D45" s="3" t="n">
        <v>165</v>
      </c>
      <c r="E45" s="3" t="n">
        <v>165</v>
      </c>
      <c r="F45" s="3" t="n">
        <v>2</v>
      </c>
      <c r="G45" s="3" t="n">
        <v>2</v>
      </c>
      <c r="H45" s="8" t="n">
        <f aca="false">INDEX(C45:E45,1,CHOOSE(scenario,F45,2,G45))</f>
        <v>165</v>
      </c>
      <c r="I45" s="7"/>
      <c r="J45" s="2" t="n">
        <f aca="false">IF(I45&lt;&gt;"",I45,IF(O45&lt;&gt;"",O45,H45))</f>
        <v>165</v>
      </c>
      <c r="K45" s="8" t="s">
        <v>62</v>
      </c>
      <c r="L45" s="8" t="s">
        <v>153</v>
      </c>
      <c r="N45" s="8" t="s">
        <v>56</v>
      </c>
      <c r="O45" s="0" t="str">
        <f aca="false">IFERROR(IF(option_sel=0,"",IF(LEN(INDEX(Opt_Overview!$C$7:$M$38,MATCH($A45,Opt_Overview!$A$7:$A$38,0),option_sel))=0,"",INDEX(Opt_Overview!$C$7:$M$38,MATCH($A45,Opt_Overview!$A$7:$A$38,0),option_sel))),"")</f>
        <v/>
      </c>
    </row>
    <row r="46" customFormat="false" ht="15" hidden="false" customHeight="false" outlineLevel="0" collapsed="false">
      <c r="A46" s="0" t="s">
        <v>165</v>
      </c>
      <c r="B46" s="0" t="s">
        <v>164</v>
      </c>
      <c r="C46" s="3" t="n">
        <v>15</v>
      </c>
      <c r="D46" s="3" t="n">
        <v>28</v>
      </c>
      <c r="E46" s="3" t="n">
        <v>40</v>
      </c>
      <c r="F46" s="3" t="n">
        <v>3</v>
      </c>
      <c r="G46" s="3" t="n">
        <v>1</v>
      </c>
      <c r="H46" s="8" t="n">
        <f aca="false">INDEX(C46:E46,1,CHOOSE(scenario,F46,2,G46))</f>
        <v>28</v>
      </c>
      <c r="I46" s="7"/>
      <c r="J46" s="2" t="n">
        <f aca="false">IF(I46&lt;&gt;"",I46,IF(O46&lt;&gt;"",O46,H46))</f>
        <v>28</v>
      </c>
      <c r="K46" s="8" t="s">
        <v>62</v>
      </c>
      <c r="L46" s="8" t="s">
        <v>166</v>
      </c>
      <c r="M46" s="8" t="s">
        <v>167</v>
      </c>
      <c r="N46" s="8" t="s">
        <v>114</v>
      </c>
      <c r="O46" s="0" t="str">
        <f aca="false">IFERROR(IF(option_sel=0,"",IF(LEN(INDEX(Opt_Overview!$C$7:$M$38,MATCH($A46,Opt_Overview!$A$7:$A$38,0),option_sel))=0,"",INDEX(Opt_Overview!$C$7:$M$38,MATCH($A46,Opt_Overview!$A$7:$A$38,0),option_sel))),"")</f>
        <v/>
      </c>
    </row>
    <row r="47" customFormat="false" ht="15" hidden="false" customHeight="false" outlineLevel="0" collapsed="false">
      <c r="A47" s="0" t="s">
        <v>168</v>
      </c>
      <c r="B47" s="0" t="s">
        <v>66</v>
      </c>
      <c r="C47" s="3" t="n">
        <v>0.7</v>
      </c>
      <c r="D47" s="3" t="n">
        <v>0.9</v>
      </c>
      <c r="E47" s="3" t="n">
        <v>1.2</v>
      </c>
      <c r="F47" s="3" t="n">
        <v>3</v>
      </c>
      <c r="G47" s="3" t="n">
        <v>1</v>
      </c>
      <c r="H47" s="8" t="n">
        <f aca="false">INDEX(C47:E47,1,CHOOSE(scenario,F47,2,G47))</f>
        <v>0.9</v>
      </c>
      <c r="I47" s="7"/>
      <c r="J47" s="2" t="n">
        <f aca="false">IF(I47&lt;&gt;"",I47,IF(O47&lt;&gt;"",O47,H47))</f>
        <v>0.9</v>
      </c>
      <c r="K47" s="8" t="s">
        <v>53</v>
      </c>
      <c r="L47" s="8" t="s">
        <v>169</v>
      </c>
      <c r="M47" s="8" t="s">
        <v>170</v>
      </c>
      <c r="N47" s="8" t="s">
        <v>114</v>
      </c>
      <c r="O47" s="0" t="str">
        <f aca="false">IFERROR(IF(option_sel=0,"",IF(LEN(INDEX(Opt_Overview!$C$7:$M$38,MATCH($A47,Opt_Overview!$A$7:$A$38,0),option_sel))=0,"",INDEX(Opt_Overview!$C$7:$M$38,MATCH($A47,Opt_Overview!$A$7:$A$38,0),option_sel))),"")</f>
        <v/>
      </c>
    </row>
    <row r="48" customFormat="false" ht="15" hidden="false" customHeight="false" outlineLevel="0" collapsed="false">
      <c r="A48" s="0" t="s">
        <v>171</v>
      </c>
      <c r="B48" s="0" t="s">
        <v>152</v>
      </c>
      <c r="C48" s="3" t="n">
        <v>330</v>
      </c>
      <c r="D48" s="3" t="n">
        <v>330</v>
      </c>
      <c r="E48" s="3" t="n">
        <v>330</v>
      </c>
      <c r="F48" s="3" t="n">
        <v>2</v>
      </c>
      <c r="G48" s="3" t="n">
        <v>2</v>
      </c>
      <c r="H48" s="8" t="n">
        <f aca="false">INDEX(C48:E48,1,CHOOSE(scenario,F48,2,G48))</f>
        <v>330</v>
      </c>
      <c r="I48" s="7"/>
      <c r="J48" s="2" t="n">
        <f aca="false">IF(I48&lt;&gt;"",I48,IF(O48&lt;&gt;"",O48,H48))</f>
        <v>330</v>
      </c>
      <c r="K48" s="8" t="s">
        <v>172</v>
      </c>
      <c r="L48" s="8" t="s">
        <v>173</v>
      </c>
      <c r="M48" s="8" t="s">
        <v>154</v>
      </c>
      <c r="N48" s="8" t="s">
        <v>56</v>
      </c>
      <c r="O48" s="0" t="str">
        <f aca="false">IFERROR(IF(option_sel=0,"",IF(LEN(INDEX(Opt_Overview!$C$7:$M$38,MATCH($A48,Opt_Overview!$A$7:$A$38,0),option_sel))=0,"",INDEX(Opt_Overview!$C$7:$M$38,MATCH($A48,Opt_Overview!$A$7:$A$38,0),option_sel))),"")</f>
        <v/>
      </c>
    </row>
    <row r="49" customFormat="false" ht="15" hidden="false" customHeight="false" outlineLevel="0" collapsed="false">
      <c r="A49" s="0" t="s">
        <v>174</v>
      </c>
      <c r="B49" s="0" t="s">
        <v>152</v>
      </c>
      <c r="C49" s="3" t="n">
        <v>1241</v>
      </c>
      <c r="D49" s="3" t="n">
        <v>1241</v>
      </c>
      <c r="E49" s="3" t="n">
        <v>1241</v>
      </c>
      <c r="F49" s="3" t="n">
        <v>2</v>
      </c>
      <c r="G49" s="3" t="n">
        <v>2</v>
      </c>
      <c r="H49" s="8" t="n">
        <f aca="false">INDEX(C49:E49,1,CHOOSE(scenario,F49,2,G49))</f>
        <v>1241</v>
      </c>
      <c r="I49" s="7"/>
      <c r="J49" s="2" t="n">
        <f aca="false">IF(I49&lt;&gt;"",I49,IF(O49&lt;&gt;"",O49,H49))</f>
        <v>1241</v>
      </c>
      <c r="K49" s="8" t="s">
        <v>172</v>
      </c>
      <c r="L49" s="8" t="s">
        <v>173</v>
      </c>
      <c r="M49" s="8" t="s">
        <v>156</v>
      </c>
      <c r="N49" s="8" t="s">
        <v>56</v>
      </c>
      <c r="O49" s="0" t="str">
        <f aca="false">IFERROR(IF(option_sel=0,"",IF(LEN(INDEX(Opt_Overview!$C$7:$M$38,MATCH($A49,Opt_Overview!$A$7:$A$38,0),option_sel))=0,"",INDEX(Opt_Overview!$C$7:$M$38,MATCH($A49,Opt_Overview!$A$7:$A$38,0),option_sel))),"")</f>
        <v/>
      </c>
    </row>
    <row r="50" customFormat="false" ht="15" hidden="false" customHeight="false" outlineLevel="0" collapsed="false">
      <c r="A50" s="0" t="s">
        <v>175</v>
      </c>
      <c r="B50" s="0" t="s">
        <v>152</v>
      </c>
      <c r="C50" s="3" t="n">
        <v>0</v>
      </c>
      <c r="D50" s="3" t="n">
        <v>0</v>
      </c>
      <c r="E50" s="3" t="n">
        <v>0</v>
      </c>
      <c r="F50" s="3" t="n">
        <v>2</v>
      </c>
      <c r="G50" s="3" t="n">
        <v>2</v>
      </c>
      <c r="H50" s="8" t="n">
        <f aca="false">INDEX(C50:E50,1,CHOOSE(scenario,F50,2,G50))</f>
        <v>0</v>
      </c>
      <c r="I50" s="7"/>
      <c r="J50" s="2" t="n">
        <f aca="false">IF(I50&lt;&gt;"",I50,IF(O50&lt;&gt;"",O50,H50))</f>
        <v>0</v>
      </c>
      <c r="K50" s="8" t="s">
        <v>172</v>
      </c>
      <c r="L50" s="8" t="s">
        <v>173</v>
      </c>
      <c r="M50" s="8" t="s">
        <v>158</v>
      </c>
      <c r="N50" s="8" t="s">
        <v>56</v>
      </c>
      <c r="O50" s="0" t="str">
        <f aca="false">IFERROR(IF(option_sel=0,"",IF(LEN(INDEX(Opt_Overview!$C$7:$M$38,MATCH($A50,Opt_Overview!$A$7:$A$38,0),option_sel))=0,"",INDEX(Opt_Overview!$C$7:$M$38,MATCH($A50,Opt_Overview!$A$7:$A$38,0),option_sel))),"")</f>
        <v/>
      </c>
    </row>
    <row r="51" customFormat="false" ht="15" hidden="false" customHeight="false" outlineLevel="0" collapsed="false">
      <c r="A51" s="0" t="s">
        <v>176</v>
      </c>
      <c r="B51" s="0" t="s">
        <v>152</v>
      </c>
      <c r="C51" s="3" t="n">
        <v>639</v>
      </c>
      <c r="D51" s="3" t="n">
        <v>639</v>
      </c>
      <c r="E51" s="3" t="n">
        <v>639</v>
      </c>
      <c r="F51" s="3" t="n">
        <v>2</v>
      </c>
      <c r="G51" s="3" t="n">
        <v>2</v>
      </c>
      <c r="H51" s="8" t="n">
        <f aca="false">INDEX(C51:E51,1,CHOOSE(scenario,F51,2,G51))</f>
        <v>639</v>
      </c>
      <c r="I51" s="7"/>
      <c r="J51" s="2" t="n">
        <f aca="false">IF(I51&lt;&gt;"",I51,IF(O51&lt;&gt;"",O51,H51))</f>
        <v>639</v>
      </c>
      <c r="K51" s="8" t="s">
        <v>172</v>
      </c>
      <c r="L51" s="8" t="s">
        <v>173</v>
      </c>
      <c r="M51" s="8" t="s">
        <v>160</v>
      </c>
      <c r="N51" s="8" t="s">
        <v>56</v>
      </c>
      <c r="O51" s="0" t="str">
        <f aca="false">IFERROR(IF(option_sel=0,"",IF(LEN(INDEX(Opt_Overview!$C$7:$M$38,MATCH($A51,Opt_Overview!$A$7:$A$38,0),option_sel))=0,"",INDEX(Opt_Overview!$C$7:$M$38,MATCH($A51,Opt_Overview!$A$7:$A$38,0),option_sel))),"")</f>
        <v/>
      </c>
    </row>
    <row r="52" customFormat="false" ht="15" hidden="false" customHeight="false" outlineLevel="0" collapsed="false">
      <c r="A52" s="0" t="s">
        <v>177</v>
      </c>
      <c r="B52" s="0" t="s">
        <v>152</v>
      </c>
      <c r="C52" s="3" t="n">
        <v>0</v>
      </c>
      <c r="D52" s="3" t="n">
        <v>0</v>
      </c>
      <c r="E52" s="3" t="n">
        <v>0</v>
      </c>
      <c r="F52" s="3" t="n">
        <v>2</v>
      </c>
      <c r="G52" s="3" t="n">
        <v>2</v>
      </c>
      <c r="H52" s="8" t="n">
        <f aca="false">INDEX(C52:E52,1,CHOOSE(scenario,F52,2,G52))</f>
        <v>0</v>
      </c>
      <c r="I52" s="7"/>
      <c r="J52" s="2" t="n">
        <f aca="false">IF(I52&lt;&gt;"",I52,IF(O52&lt;&gt;"",O52,H52))</f>
        <v>0</v>
      </c>
      <c r="K52" s="8" t="s">
        <v>172</v>
      </c>
      <c r="L52" s="8" t="s">
        <v>173</v>
      </c>
      <c r="M52" s="8" t="s">
        <v>162</v>
      </c>
      <c r="N52" s="8" t="s">
        <v>56</v>
      </c>
      <c r="O52" s="0" t="str">
        <f aca="false">IFERROR(IF(option_sel=0,"",IF(LEN(INDEX(Opt_Overview!$C$7:$M$38,MATCH($A52,Opt_Overview!$A$7:$A$38,0),option_sel))=0,"",INDEX(Opt_Overview!$C$7:$M$38,MATCH($A52,Opt_Overview!$A$7:$A$38,0),option_sel))),"")</f>
        <v/>
      </c>
    </row>
    <row r="53" customFormat="false" ht="15" hidden="false" customHeight="false" outlineLevel="0" collapsed="false">
      <c r="A53" s="0" t="s">
        <v>178</v>
      </c>
      <c r="B53" s="0" t="s">
        <v>164</v>
      </c>
      <c r="C53" s="3" t="n">
        <v>165</v>
      </c>
      <c r="D53" s="3" t="n">
        <v>165</v>
      </c>
      <c r="E53" s="3" t="n">
        <v>165</v>
      </c>
      <c r="F53" s="3" t="n">
        <v>2</v>
      </c>
      <c r="G53" s="3" t="n">
        <v>2</v>
      </c>
      <c r="H53" s="8" t="n">
        <f aca="false">INDEX(C53:E53,1,CHOOSE(scenario,F53,2,G53))</f>
        <v>165</v>
      </c>
      <c r="I53" s="7"/>
      <c r="J53" s="2" t="n">
        <f aca="false">IF(I53&lt;&gt;"",I53,IF(O53&lt;&gt;"",O53,H53))</f>
        <v>165</v>
      </c>
      <c r="K53" s="8" t="s">
        <v>172</v>
      </c>
      <c r="L53" s="8" t="s">
        <v>173</v>
      </c>
      <c r="N53" s="8" t="s">
        <v>56</v>
      </c>
      <c r="O53" s="0" t="str">
        <f aca="false">IFERROR(IF(option_sel=0,"",IF(LEN(INDEX(Opt_Overview!$C$7:$M$38,MATCH($A53,Opt_Overview!$A$7:$A$38,0),option_sel))=0,"",INDEX(Opt_Overview!$C$7:$M$38,MATCH($A53,Opt_Overview!$A$7:$A$38,0),option_sel))),"")</f>
        <v/>
      </c>
    </row>
    <row r="54" customFormat="false" ht="15" hidden="false" customHeight="false" outlineLevel="0" collapsed="false">
      <c r="A54" s="0" t="s">
        <v>179</v>
      </c>
      <c r="B54" s="0" t="s">
        <v>164</v>
      </c>
      <c r="C54" s="3" t="n">
        <v>0</v>
      </c>
      <c r="D54" s="3" t="n">
        <v>0</v>
      </c>
      <c r="E54" s="3" t="n">
        <v>0</v>
      </c>
      <c r="F54" s="3" t="n">
        <v>2</v>
      </c>
      <c r="G54" s="3" t="n">
        <v>2</v>
      </c>
      <c r="H54" s="8" t="n">
        <f aca="false">INDEX(C54:E54,1,CHOOSE(scenario,F54,2,G54))</f>
        <v>0</v>
      </c>
      <c r="I54" s="7"/>
      <c r="J54" s="2" t="n">
        <f aca="false">IF(I54&lt;&gt;"",I54,IF(O54&lt;&gt;"",O54,H54))</f>
        <v>0</v>
      </c>
      <c r="K54" s="8" t="s">
        <v>172</v>
      </c>
      <c r="L54" s="8" t="s">
        <v>166</v>
      </c>
      <c r="M54" s="8" t="s">
        <v>167</v>
      </c>
      <c r="N54" s="8" t="s">
        <v>56</v>
      </c>
      <c r="O54" s="0" t="str">
        <f aca="false">IFERROR(IF(option_sel=0,"",IF(LEN(INDEX(Opt_Overview!$C$7:$M$38,MATCH($A54,Opt_Overview!$A$7:$A$38,0),option_sel))=0,"",INDEX(Opt_Overview!$C$7:$M$38,MATCH($A54,Opt_Overview!$A$7:$A$38,0),option_sel))),"")</f>
        <v/>
      </c>
    </row>
    <row r="55" customFormat="false" ht="15" hidden="false" customHeight="false" outlineLevel="0" collapsed="false">
      <c r="A55" s="0" t="s">
        <v>180</v>
      </c>
      <c r="B55" s="0" t="s">
        <v>66</v>
      </c>
      <c r="C55" s="3" t="n">
        <v>0.5</v>
      </c>
      <c r="D55" s="3" t="n">
        <v>0.7</v>
      </c>
      <c r="E55" s="3" t="n">
        <v>0.9</v>
      </c>
      <c r="F55" s="3" t="n">
        <v>3</v>
      </c>
      <c r="G55" s="3" t="n">
        <v>1</v>
      </c>
      <c r="H55" s="8" t="n">
        <f aca="false">INDEX(C55:E55,1,CHOOSE(scenario,F55,2,G55))</f>
        <v>0.7</v>
      </c>
      <c r="I55" s="7"/>
      <c r="J55" s="2" t="n">
        <f aca="false">IF(I55&lt;&gt;"",I55,IF(O55&lt;&gt;"",O55,H55))</f>
        <v>0.7</v>
      </c>
      <c r="K55" s="8" t="s">
        <v>53</v>
      </c>
      <c r="L55" s="8" t="s">
        <v>169</v>
      </c>
      <c r="M55" s="8" t="s">
        <v>170</v>
      </c>
      <c r="N55" s="8" t="s">
        <v>114</v>
      </c>
      <c r="O55" s="0" t="str">
        <f aca="false">IFERROR(IF(option_sel=0,"",IF(LEN(INDEX(Opt_Overview!$C$7:$M$38,MATCH($A55,Opt_Overview!$A$7:$A$38,0),option_sel))=0,"",INDEX(Opt_Overview!$C$7:$M$38,MATCH($A55,Opt_Overview!$A$7:$A$38,0),option_sel))),"")</f>
        <v/>
      </c>
    </row>
    <row r="56" customFormat="false" ht="15" hidden="false" customHeight="false" outlineLevel="0" collapsed="false">
      <c r="A56" s="0" t="s">
        <v>181</v>
      </c>
      <c r="B56" s="0" t="s">
        <v>152</v>
      </c>
      <c r="C56" s="3" t="n">
        <v>320</v>
      </c>
      <c r="D56" s="3" t="n">
        <v>320</v>
      </c>
      <c r="E56" s="3" t="n">
        <v>320</v>
      </c>
      <c r="F56" s="3" t="n">
        <v>2</v>
      </c>
      <c r="G56" s="3" t="n">
        <v>2</v>
      </c>
      <c r="H56" s="8" t="n">
        <f aca="false">INDEX(C56:E56,1,CHOOSE(scenario,F56,2,G56))</f>
        <v>320</v>
      </c>
      <c r="I56" s="7"/>
      <c r="J56" s="2" t="n">
        <f aca="false">IF(I56&lt;&gt;"",I56,IF(O56&lt;&gt;"",O56,H56))</f>
        <v>320</v>
      </c>
      <c r="K56" s="8" t="s">
        <v>172</v>
      </c>
      <c r="L56" s="8" t="s">
        <v>173</v>
      </c>
      <c r="M56" s="8" t="s">
        <v>182</v>
      </c>
      <c r="N56" s="8" t="s">
        <v>56</v>
      </c>
      <c r="O56" s="0" t="str">
        <f aca="false">IFERROR(IF(option_sel=0,"",IF(LEN(INDEX(Opt_Overview!$C$7:$M$38,MATCH($A56,Opt_Overview!$A$7:$A$38,0),option_sel))=0,"",INDEX(Opt_Overview!$C$7:$M$38,MATCH($A56,Opt_Overview!$A$7:$A$38,0),option_sel))),"")</f>
        <v/>
      </c>
    </row>
    <row r="57" customFormat="false" ht="15" hidden="false" customHeight="false" outlineLevel="0" collapsed="false">
      <c r="A57" s="0" t="s">
        <v>183</v>
      </c>
      <c r="B57" s="0" t="s">
        <v>152</v>
      </c>
      <c r="C57" s="3" t="n">
        <v>1241</v>
      </c>
      <c r="D57" s="3" t="n">
        <v>1241</v>
      </c>
      <c r="E57" s="3" t="n">
        <v>1241</v>
      </c>
      <c r="F57" s="3" t="n">
        <v>2</v>
      </c>
      <c r="G57" s="3" t="n">
        <v>2</v>
      </c>
      <c r="H57" s="8" t="n">
        <f aca="false">INDEX(C57:E57,1,CHOOSE(scenario,F57,2,G57))</f>
        <v>1241</v>
      </c>
      <c r="I57" s="7"/>
      <c r="J57" s="2" t="n">
        <f aca="false">IF(I57&lt;&gt;"",I57,IF(O57&lt;&gt;"",O57,H57))</f>
        <v>1241</v>
      </c>
      <c r="K57" s="8" t="s">
        <v>172</v>
      </c>
      <c r="L57" s="8" t="s">
        <v>173</v>
      </c>
      <c r="M57" s="8" t="s">
        <v>156</v>
      </c>
      <c r="N57" s="8" t="s">
        <v>56</v>
      </c>
      <c r="O57" s="0" t="str">
        <f aca="false">IFERROR(IF(option_sel=0,"",IF(LEN(INDEX(Opt_Overview!$C$7:$M$38,MATCH($A57,Opt_Overview!$A$7:$A$38,0),option_sel))=0,"",INDEX(Opt_Overview!$C$7:$M$38,MATCH($A57,Opt_Overview!$A$7:$A$38,0),option_sel))),"")</f>
        <v/>
      </c>
    </row>
    <row r="58" customFormat="false" ht="15" hidden="false" customHeight="false" outlineLevel="0" collapsed="false">
      <c r="A58" s="0" t="s">
        <v>184</v>
      </c>
      <c r="B58" s="0" t="s">
        <v>152</v>
      </c>
      <c r="C58" s="3" t="n">
        <v>0</v>
      </c>
      <c r="D58" s="3" t="n">
        <v>0</v>
      </c>
      <c r="E58" s="3" t="n">
        <v>0</v>
      </c>
      <c r="F58" s="3" t="n">
        <v>2</v>
      </c>
      <c r="G58" s="3" t="n">
        <v>2</v>
      </c>
      <c r="H58" s="8" t="n">
        <f aca="false">INDEX(C58:E58,1,CHOOSE(scenario,F58,2,G58))</f>
        <v>0</v>
      </c>
      <c r="I58" s="7"/>
      <c r="J58" s="2" t="n">
        <f aca="false">IF(I58&lt;&gt;"",I58,IF(O58&lt;&gt;"",O58,H58))</f>
        <v>0</v>
      </c>
      <c r="K58" s="8" t="s">
        <v>172</v>
      </c>
      <c r="L58" s="8" t="s">
        <v>173</v>
      </c>
      <c r="M58" s="8" t="s">
        <v>158</v>
      </c>
      <c r="N58" s="8" t="s">
        <v>56</v>
      </c>
      <c r="O58" s="0" t="str">
        <f aca="false">IFERROR(IF(option_sel=0,"",IF(LEN(INDEX(Opt_Overview!$C$7:$M$38,MATCH($A58,Opt_Overview!$A$7:$A$38,0),option_sel))=0,"",INDEX(Opt_Overview!$C$7:$M$38,MATCH($A58,Opt_Overview!$A$7:$A$38,0),option_sel))),"")</f>
        <v/>
      </c>
    </row>
    <row r="59" customFormat="false" ht="15" hidden="false" customHeight="false" outlineLevel="0" collapsed="false">
      <c r="A59" s="0" t="s">
        <v>185</v>
      </c>
      <c r="B59" s="0" t="s">
        <v>152</v>
      </c>
      <c r="C59" s="3" t="n">
        <v>639</v>
      </c>
      <c r="D59" s="3" t="n">
        <v>639</v>
      </c>
      <c r="E59" s="3" t="n">
        <v>639</v>
      </c>
      <c r="F59" s="3" t="n">
        <v>2</v>
      </c>
      <c r="G59" s="3" t="n">
        <v>2</v>
      </c>
      <c r="H59" s="8" t="n">
        <f aca="false">INDEX(C59:E59,1,CHOOSE(scenario,F59,2,G59))</f>
        <v>639</v>
      </c>
      <c r="I59" s="7"/>
      <c r="J59" s="2" t="n">
        <f aca="false">IF(I59&lt;&gt;"",I59,IF(O59&lt;&gt;"",O59,H59))</f>
        <v>639</v>
      </c>
      <c r="K59" s="8" t="s">
        <v>172</v>
      </c>
      <c r="L59" s="8" t="s">
        <v>173</v>
      </c>
      <c r="M59" s="8" t="s">
        <v>160</v>
      </c>
      <c r="N59" s="8" t="s">
        <v>56</v>
      </c>
      <c r="O59" s="0" t="str">
        <f aca="false">IFERROR(IF(option_sel=0,"",IF(LEN(INDEX(Opt_Overview!$C$7:$M$38,MATCH($A59,Opt_Overview!$A$7:$A$38,0),option_sel))=0,"",INDEX(Opt_Overview!$C$7:$M$38,MATCH($A59,Opt_Overview!$A$7:$A$38,0),option_sel))),"")</f>
        <v/>
      </c>
    </row>
    <row r="60" customFormat="false" ht="15" hidden="false" customHeight="false" outlineLevel="0" collapsed="false">
      <c r="A60" s="0" t="s">
        <v>186</v>
      </c>
      <c r="B60" s="0" t="s">
        <v>152</v>
      </c>
      <c r="C60" s="3" t="n">
        <v>0</v>
      </c>
      <c r="D60" s="3" t="n">
        <v>0</v>
      </c>
      <c r="E60" s="3" t="n">
        <v>0</v>
      </c>
      <c r="F60" s="3" t="n">
        <v>2</v>
      </c>
      <c r="G60" s="3" t="n">
        <v>2</v>
      </c>
      <c r="H60" s="8" t="n">
        <f aca="false">INDEX(C60:E60,1,CHOOSE(scenario,F60,2,G60))</f>
        <v>0</v>
      </c>
      <c r="I60" s="7"/>
      <c r="J60" s="2" t="n">
        <f aca="false">IF(I60&lt;&gt;"",I60,IF(O60&lt;&gt;"",O60,H60))</f>
        <v>0</v>
      </c>
      <c r="K60" s="8" t="s">
        <v>172</v>
      </c>
      <c r="L60" s="8" t="s">
        <v>173</v>
      </c>
      <c r="M60" s="8" t="s">
        <v>162</v>
      </c>
      <c r="N60" s="8" t="s">
        <v>56</v>
      </c>
      <c r="O60" s="0" t="str">
        <f aca="false">IFERROR(IF(option_sel=0,"",IF(LEN(INDEX(Opt_Overview!$C$7:$M$38,MATCH($A60,Opt_Overview!$A$7:$A$38,0),option_sel))=0,"",INDEX(Opt_Overview!$C$7:$M$38,MATCH($A60,Opt_Overview!$A$7:$A$38,0),option_sel))),"")</f>
        <v/>
      </c>
    </row>
    <row r="61" customFormat="false" ht="15" hidden="false" customHeight="false" outlineLevel="0" collapsed="false">
      <c r="A61" s="0" t="s">
        <v>187</v>
      </c>
      <c r="B61" s="0" t="s">
        <v>164</v>
      </c>
      <c r="C61" s="3" t="n">
        <v>165</v>
      </c>
      <c r="D61" s="3" t="n">
        <v>165</v>
      </c>
      <c r="E61" s="3" t="n">
        <v>165</v>
      </c>
      <c r="F61" s="3" t="n">
        <v>2</v>
      </c>
      <c r="G61" s="3" t="n">
        <v>2</v>
      </c>
      <c r="H61" s="8" t="n">
        <f aca="false">INDEX(C61:E61,1,CHOOSE(scenario,F61,2,G61))</f>
        <v>165</v>
      </c>
      <c r="I61" s="7"/>
      <c r="J61" s="2" t="n">
        <f aca="false">IF(I61&lt;&gt;"",I61,IF(O61&lt;&gt;"",O61,H61))</f>
        <v>165</v>
      </c>
      <c r="K61" s="8" t="s">
        <v>172</v>
      </c>
      <c r="L61" s="8" t="s">
        <v>173</v>
      </c>
      <c r="N61" s="8" t="s">
        <v>56</v>
      </c>
      <c r="O61" s="0" t="str">
        <f aca="false">IFERROR(IF(option_sel=0,"",IF(LEN(INDEX(Opt_Overview!$C$7:$M$38,MATCH($A61,Opt_Overview!$A$7:$A$38,0),option_sel))=0,"",INDEX(Opt_Overview!$C$7:$M$38,MATCH($A61,Opt_Overview!$A$7:$A$38,0),option_sel))),"")</f>
        <v/>
      </c>
    </row>
    <row r="62" customFormat="false" ht="15" hidden="false" customHeight="false" outlineLevel="0" collapsed="false">
      <c r="A62" s="0" t="s">
        <v>188</v>
      </c>
      <c r="B62" s="0" t="s">
        <v>164</v>
      </c>
      <c r="C62" s="3" t="n">
        <v>0</v>
      </c>
      <c r="D62" s="3" t="n">
        <v>0</v>
      </c>
      <c r="E62" s="3" t="n">
        <v>0</v>
      </c>
      <c r="F62" s="3" t="n">
        <v>2</v>
      </c>
      <c r="G62" s="3" t="n">
        <v>2</v>
      </c>
      <c r="H62" s="8" t="n">
        <f aca="false">INDEX(C62:E62,1,CHOOSE(scenario,F62,2,G62))</f>
        <v>0</v>
      </c>
      <c r="I62" s="7"/>
      <c r="J62" s="2" t="n">
        <f aca="false">IF(I62&lt;&gt;"",I62,IF(O62&lt;&gt;"",O62,H62))</f>
        <v>0</v>
      </c>
      <c r="K62" s="8" t="s">
        <v>172</v>
      </c>
      <c r="L62" s="8" t="s">
        <v>166</v>
      </c>
      <c r="M62" s="8" t="s">
        <v>167</v>
      </c>
      <c r="N62" s="8" t="s">
        <v>56</v>
      </c>
      <c r="O62" s="0" t="str">
        <f aca="false">IFERROR(IF(option_sel=0,"",IF(LEN(INDEX(Opt_Overview!$C$7:$M$38,MATCH($A62,Opt_Overview!$A$7:$A$38,0),option_sel))=0,"",INDEX(Opt_Overview!$C$7:$M$38,MATCH($A62,Opt_Overview!$A$7:$A$38,0),option_sel))),"")</f>
        <v/>
      </c>
    </row>
    <row r="63" customFormat="false" ht="15" hidden="false" customHeight="false" outlineLevel="0" collapsed="false">
      <c r="A63" s="0" t="s">
        <v>189</v>
      </c>
      <c r="B63" s="0" t="s">
        <v>66</v>
      </c>
      <c r="C63" s="3" t="n">
        <v>0.5</v>
      </c>
      <c r="D63" s="3" t="n">
        <v>0.7</v>
      </c>
      <c r="E63" s="3" t="n">
        <v>0.9</v>
      </c>
      <c r="F63" s="3" t="n">
        <v>2</v>
      </c>
      <c r="G63" s="3" t="n">
        <v>2</v>
      </c>
      <c r="H63" s="8" t="n">
        <f aca="false">INDEX(C63:E63,1,CHOOSE(scenario,F63,2,G63))</f>
        <v>0.7</v>
      </c>
      <c r="I63" s="7"/>
      <c r="J63" s="2" t="n">
        <f aca="false">IF(I63&lt;&gt;"",I63,IF(O63&lt;&gt;"",O63,H63))</f>
        <v>0.7</v>
      </c>
      <c r="K63" s="8" t="s">
        <v>53</v>
      </c>
      <c r="L63" s="8" t="s">
        <v>169</v>
      </c>
      <c r="M63" s="8" t="s">
        <v>170</v>
      </c>
      <c r="N63" s="8" t="s">
        <v>56</v>
      </c>
      <c r="O63" s="0" t="str">
        <f aca="false">IFERROR(IF(option_sel=0,"",IF(LEN(INDEX(Opt_Overview!$C$7:$M$38,MATCH($A63,Opt_Overview!$A$7:$A$38,0),option_sel))=0,"",INDEX(Opt_Overview!$C$7:$M$38,MATCH($A63,Opt_Overview!$A$7:$A$38,0),option_sel))),"")</f>
        <v/>
      </c>
    </row>
    <row r="64" customFormat="false" ht="15" hidden="false" customHeight="false" outlineLevel="0" collapsed="false">
      <c r="A64" s="0" t="s">
        <v>190</v>
      </c>
      <c r="B64" s="0" t="s">
        <v>152</v>
      </c>
      <c r="C64" s="3" t="n">
        <v>290</v>
      </c>
      <c r="D64" s="3" t="n">
        <v>310</v>
      </c>
      <c r="E64" s="3" t="n">
        <v>330</v>
      </c>
      <c r="F64" s="3" t="n">
        <v>3</v>
      </c>
      <c r="G64" s="3" t="n">
        <v>1</v>
      </c>
      <c r="H64" s="8" t="n">
        <f aca="false">INDEX(C64:E64,1,CHOOSE(scenario,F64,2,G64))</f>
        <v>310</v>
      </c>
      <c r="I64" s="7"/>
      <c r="J64" s="2" t="n">
        <f aca="false">IF(I64&lt;&gt;"",I64,IF(O64&lt;&gt;"",O64,H64))</f>
        <v>310</v>
      </c>
      <c r="K64" s="8" t="s">
        <v>62</v>
      </c>
      <c r="L64" s="8" t="s">
        <v>191</v>
      </c>
      <c r="M64" s="8" t="s">
        <v>192</v>
      </c>
      <c r="N64" s="8" t="s">
        <v>114</v>
      </c>
      <c r="O64" s="0" t="str">
        <f aca="false">IFERROR(IF(option_sel=0,"",IF(LEN(INDEX(Opt_Overview!$C$7:$M$38,MATCH($A64,Opt_Overview!$A$7:$A$38,0),option_sel))=0,"",INDEX(Opt_Overview!$C$7:$M$38,MATCH($A64,Opt_Overview!$A$7:$A$38,0),option_sel))),"")</f>
        <v/>
      </c>
    </row>
    <row r="65" customFormat="false" ht="15" hidden="false" customHeight="false" outlineLevel="0" collapsed="false">
      <c r="A65" s="0" t="s">
        <v>193</v>
      </c>
      <c r="B65" s="0" t="s">
        <v>152</v>
      </c>
      <c r="C65" s="3" t="n">
        <v>305</v>
      </c>
      <c r="D65" s="3" t="n">
        <v>325</v>
      </c>
      <c r="E65" s="3" t="n">
        <v>345</v>
      </c>
      <c r="F65" s="3" t="n">
        <v>3</v>
      </c>
      <c r="G65" s="3" t="n">
        <v>1</v>
      </c>
      <c r="H65" s="8" t="n">
        <f aca="false">INDEX(C65:E65,1,CHOOSE(scenario,F65,2,G65))</f>
        <v>325</v>
      </c>
      <c r="I65" s="7"/>
      <c r="J65" s="2" t="n">
        <f aca="false">IF(I65&lt;&gt;"",I65,IF(O65&lt;&gt;"",O65,H65))</f>
        <v>325</v>
      </c>
      <c r="K65" s="8" t="s">
        <v>62</v>
      </c>
      <c r="L65" s="8" t="s">
        <v>194</v>
      </c>
      <c r="M65" s="8" t="s">
        <v>195</v>
      </c>
      <c r="N65" s="8" t="s">
        <v>114</v>
      </c>
      <c r="O65" s="0" t="str">
        <f aca="false">IFERROR(IF(option_sel=0,"",IF(LEN(INDEX(Opt_Overview!$C$7:$M$38,MATCH($A65,Opt_Overview!$A$7:$A$38,0),option_sel))=0,"",INDEX(Opt_Overview!$C$7:$M$38,MATCH($A65,Opt_Overview!$A$7:$A$38,0),option_sel))),"")</f>
        <v/>
      </c>
    </row>
    <row r="66" customFormat="false" ht="15" hidden="false" customHeight="false" outlineLevel="0" collapsed="false">
      <c r="A66" s="0" t="s">
        <v>196</v>
      </c>
      <c r="B66" s="0" t="s">
        <v>197</v>
      </c>
      <c r="C66" s="3" t="n">
        <v>95</v>
      </c>
      <c r="D66" s="3" t="n">
        <v>110</v>
      </c>
      <c r="E66" s="3" t="n">
        <v>130</v>
      </c>
      <c r="F66" s="3" t="n">
        <v>3</v>
      </c>
      <c r="G66" s="3" t="n">
        <v>1</v>
      </c>
      <c r="H66" s="8" t="n">
        <f aca="false">INDEX(C66:E66,1,CHOOSE(scenario,F66,2,G66))</f>
        <v>110</v>
      </c>
      <c r="I66" s="7"/>
      <c r="J66" s="2" t="n">
        <f aca="false">IF(I66&lt;&gt;"",I66,IF(O66&lt;&gt;"",O66,H66))</f>
        <v>110</v>
      </c>
      <c r="K66" s="8" t="s">
        <v>62</v>
      </c>
      <c r="L66" s="8" t="s">
        <v>198</v>
      </c>
      <c r="M66" s="8" t="s">
        <v>199</v>
      </c>
      <c r="N66" s="8" t="s">
        <v>114</v>
      </c>
      <c r="O66" s="0" t="str">
        <f aca="false">IFERROR(IF(option_sel=0,"",IF(LEN(INDEX(Opt_Overview!$C$7:$M$38,MATCH($A66,Opt_Overview!$A$7:$A$38,0),option_sel))=0,"",INDEX(Opt_Overview!$C$7:$M$38,MATCH($A66,Opt_Overview!$A$7:$A$38,0),option_sel))),"")</f>
        <v/>
      </c>
    </row>
    <row r="67" customFormat="false" ht="15" hidden="false" customHeight="false" outlineLevel="0" collapsed="false">
      <c r="A67" s="0" t="s">
        <v>200</v>
      </c>
      <c r="B67" s="0" t="s">
        <v>197</v>
      </c>
      <c r="C67" s="3" t="n">
        <v>120</v>
      </c>
      <c r="D67" s="3" t="n">
        <v>140</v>
      </c>
      <c r="E67" s="3" t="n">
        <v>165</v>
      </c>
      <c r="F67" s="3" t="n">
        <v>2</v>
      </c>
      <c r="G67" s="3" t="n">
        <v>2</v>
      </c>
      <c r="H67" s="8" t="n">
        <f aca="false">INDEX(C67:E67,1,CHOOSE(scenario,F67,2,G67))</f>
        <v>140</v>
      </c>
      <c r="I67" s="7"/>
      <c r="J67" s="2" t="n">
        <f aca="false">IF(I67&lt;&gt;"",I67,IF(O67&lt;&gt;"",O67,H67))</f>
        <v>140</v>
      </c>
      <c r="K67" s="8" t="s">
        <v>62</v>
      </c>
      <c r="L67" s="8" t="s">
        <v>201</v>
      </c>
      <c r="M67" s="8" t="s">
        <v>202</v>
      </c>
      <c r="N67" s="8" t="s">
        <v>56</v>
      </c>
      <c r="O67" s="0" t="str">
        <f aca="false">IFERROR(IF(option_sel=0,"",IF(LEN(INDEX(Opt_Overview!$C$7:$M$38,MATCH($A67,Opt_Overview!$A$7:$A$38,0),option_sel))=0,"",INDEX(Opt_Overview!$C$7:$M$38,MATCH($A67,Opt_Overview!$A$7:$A$38,0),option_sel))),"")</f>
        <v/>
      </c>
    </row>
    <row r="68" customFormat="false" ht="15" hidden="false" customHeight="false" outlineLevel="0" collapsed="false">
      <c r="A68" s="0" t="s">
        <v>203</v>
      </c>
      <c r="B68" s="0" t="s">
        <v>66</v>
      </c>
      <c r="C68" s="3" t="n">
        <v>50</v>
      </c>
      <c r="D68" s="3" t="n">
        <v>85</v>
      </c>
      <c r="E68" s="3" t="n">
        <v>100</v>
      </c>
      <c r="F68" s="3" t="n">
        <v>3</v>
      </c>
      <c r="G68" s="3" t="n">
        <v>1</v>
      </c>
      <c r="H68" s="8" t="n">
        <f aca="false">INDEX(C68:E68,1,CHOOSE(scenario,F68,2,G68))</f>
        <v>85</v>
      </c>
      <c r="I68" s="7"/>
      <c r="J68" s="2" t="n">
        <f aca="false">IF(I68&lt;&gt;"",I68,IF(O68&lt;&gt;"",O68,H68))</f>
        <v>85</v>
      </c>
      <c r="K68" s="8" t="s">
        <v>53</v>
      </c>
      <c r="L68" s="8" t="s">
        <v>204</v>
      </c>
      <c r="M68" s="8" t="s">
        <v>205</v>
      </c>
      <c r="N68" s="8" t="s">
        <v>114</v>
      </c>
      <c r="O68" s="0" t="str">
        <f aca="false">IFERROR(IF(option_sel=0,"",IF(LEN(INDEX(Opt_Overview!$C$7:$M$38,MATCH($A68,Opt_Overview!$A$7:$A$38,0),option_sel))=0,"",INDEX(Opt_Overview!$C$7:$M$38,MATCH($A68,Opt_Overview!$A$7:$A$38,0),option_sel))),"")</f>
        <v/>
      </c>
    </row>
    <row r="69" customFormat="false" ht="15" hidden="false" customHeight="false" outlineLevel="0" collapsed="false">
      <c r="A69" s="0" t="s">
        <v>206</v>
      </c>
      <c r="B69" s="0" t="s">
        <v>66</v>
      </c>
      <c r="C69" s="3" t="n">
        <v>0</v>
      </c>
      <c r="D69" s="3" t="n">
        <v>10</v>
      </c>
      <c r="E69" s="3" t="n">
        <v>25</v>
      </c>
      <c r="F69" s="3" t="n">
        <v>3</v>
      </c>
      <c r="G69" s="3" t="n">
        <v>1</v>
      </c>
      <c r="H69" s="8" t="n">
        <f aca="false">INDEX(C69:E69,1,CHOOSE(scenario,F69,2,G69))</f>
        <v>10</v>
      </c>
      <c r="I69" s="7"/>
      <c r="J69" s="2" t="n">
        <f aca="false">IF(I69&lt;&gt;"",I69,IF(O69&lt;&gt;"",O69,H69))</f>
        <v>10</v>
      </c>
      <c r="K69" s="8" t="s">
        <v>53</v>
      </c>
      <c r="L69" s="8" t="s">
        <v>207</v>
      </c>
      <c r="M69" s="8" t="s">
        <v>208</v>
      </c>
      <c r="N69" s="8" t="s">
        <v>114</v>
      </c>
      <c r="O69" s="0" t="str">
        <f aca="false">IFERROR(IF(option_sel=0,"",IF(LEN(INDEX(Opt_Overview!$C$7:$M$38,MATCH($A69,Opt_Overview!$A$7:$A$38,0),option_sel))=0,"",INDEX(Opt_Overview!$C$7:$M$38,MATCH($A69,Opt_Overview!$A$7:$A$38,0),option_sel))),"")</f>
        <v/>
      </c>
    </row>
    <row r="70" customFormat="false" ht="15" hidden="false" customHeight="false" outlineLevel="0" collapsed="false">
      <c r="A70" s="0" t="s">
        <v>209</v>
      </c>
      <c r="B70" s="0" t="s">
        <v>66</v>
      </c>
      <c r="C70" s="3" t="n">
        <v>50</v>
      </c>
      <c r="D70" s="3" t="n">
        <v>80</v>
      </c>
      <c r="E70" s="3" t="n">
        <v>100</v>
      </c>
      <c r="F70" s="3" t="n">
        <v>1</v>
      </c>
      <c r="G70" s="3" t="n">
        <v>3</v>
      </c>
      <c r="H70" s="8" t="n">
        <f aca="false">INDEX(C70:E70,1,CHOOSE(scenario,F70,2,G70))</f>
        <v>80</v>
      </c>
      <c r="I70" s="7"/>
      <c r="J70" s="2" t="n">
        <f aca="false">IF(I70&lt;&gt;"",I70,IF(O70&lt;&gt;"",O70,H70))</f>
        <v>80</v>
      </c>
      <c r="K70" s="8" t="s">
        <v>53</v>
      </c>
      <c r="L70" s="8" t="s">
        <v>210</v>
      </c>
      <c r="M70" s="8" t="s">
        <v>211</v>
      </c>
      <c r="N70" s="8" t="s">
        <v>78</v>
      </c>
      <c r="O70" s="0" t="str">
        <f aca="false">IFERROR(IF(option_sel=0,"",IF(LEN(INDEX(Opt_Overview!$C$7:$M$38,MATCH($A70,Opt_Overview!$A$7:$A$38,0),option_sel))=0,"",INDEX(Opt_Overview!$C$7:$M$38,MATCH($A70,Opt_Overview!$A$7:$A$38,0),option_sel))),"")</f>
        <v/>
      </c>
    </row>
    <row r="71" customFormat="false" ht="15" hidden="false" customHeight="false" outlineLevel="0" collapsed="false">
      <c r="A71" s="0" t="s">
        <v>212</v>
      </c>
      <c r="B71" s="0" t="s">
        <v>213</v>
      </c>
      <c r="C71" s="3" t="n">
        <v>85</v>
      </c>
      <c r="D71" s="3" t="n">
        <v>85</v>
      </c>
      <c r="E71" s="3" t="n">
        <v>85</v>
      </c>
      <c r="F71" s="3" t="n">
        <v>2</v>
      </c>
      <c r="G71" s="3" t="n">
        <v>2</v>
      </c>
      <c r="H71" s="8" t="n">
        <f aca="false">INDEX(C71:E71,1,CHOOSE(scenario,F71,2,G71))</f>
        <v>85</v>
      </c>
      <c r="I71" s="7"/>
      <c r="J71" s="2" t="n">
        <f aca="false">IF(I71&lt;&gt;"",I71,IF(O71&lt;&gt;"",O71,H71))</f>
        <v>85</v>
      </c>
      <c r="K71" s="8" t="s">
        <v>172</v>
      </c>
      <c r="L71" s="8" t="s">
        <v>214</v>
      </c>
      <c r="M71" s="8" t="s">
        <v>215</v>
      </c>
      <c r="N71" s="8" t="s">
        <v>56</v>
      </c>
      <c r="O71" s="0" t="str">
        <f aca="false">IFERROR(IF(option_sel=0,"",IF(LEN(INDEX(Opt_Overview!$C$7:$M$38,MATCH($A71,Opt_Overview!$A$7:$A$38,0),option_sel))=0,"",INDEX(Opt_Overview!$C$7:$M$38,MATCH($A71,Opt_Overview!$A$7:$A$38,0),option_sel))),"")</f>
        <v/>
      </c>
    </row>
    <row r="72" customFormat="false" ht="15" hidden="false" customHeight="false" outlineLevel="0" collapsed="false">
      <c r="A72" s="0" t="s">
        <v>216</v>
      </c>
      <c r="B72" s="0" t="s">
        <v>213</v>
      </c>
      <c r="C72" s="3" t="n">
        <v>65</v>
      </c>
      <c r="D72" s="3" t="n">
        <v>88</v>
      </c>
      <c r="E72" s="3" t="n">
        <v>105</v>
      </c>
      <c r="F72" s="3" t="n">
        <v>2</v>
      </c>
      <c r="G72" s="3" t="n">
        <v>2</v>
      </c>
      <c r="H72" s="8" t="n">
        <f aca="false">INDEX(C72:E72,1,CHOOSE(scenario,F72,2,G72))</f>
        <v>88</v>
      </c>
      <c r="I72" s="7"/>
      <c r="J72" s="2" t="n">
        <f aca="false">IF(I72&lt;&gt;"",I72,IF(O72&lt;&gt;"",O72,H72))</f>
        <v>88</v>
      </c>
      <c r="K72" s="8" t="s">
        <v>62</v>
      </c>
      <c r="L72" s="8" t="s">
        <v>214</v>
      </c>
      <c r="M72" s="8" t="s">
        <v>215</v>
      </c>
      <c r="N72" s="8" t="s">
        <v>56</v>
      </c>
      <c r="O72" s="0" t="str">
        <f aca="false">IFERROR(IF(option_sel=0,"",IF(LEN(INDEX(Opt_Overview!$C$7:$M$38,MATCH($A72,Opt_Overview!$A$7:$A$38,0),option_sel))=0,"",INDEX(Opt_Overview!$C$7:$M$38,MATCH($A72,Opt_Overview!$A$7:$A$38,0),option_sel))),"")</f>
        <v/>
      </c>
    </row>
    <row r="73" customFormat="false" ht="15" hidden="false" customHeight="false" outlineLevel="0" collapsed="false">
      <c r="A73" s="0" t="s">
        <v>217</v>
      </c>
      <c r="B73" s="0" t="s">
        <v>213</v>
      </c>
      <c r="C73" s="3" t="n">
        <v>67</v>
      </c>
      <c r="D73" s="3" t="n">
        <v>91</v>
      </c>
      <c r="E73" s="3" t="n">
        <v>113</v>
      </c>
      <c r="F73" s="3" t="n">
        <v>2</v>
      </c>
      <c r="G73" s="3" t="n">
        <v>2</v>
      </c>
      <c r="H73" s="8" t="n">
        <f aca="false">INDEX(C73:E73,1,CHOOSE(scenario,F73,2,G73))</f>
        <v>91</v>
      </c>
      <c r="I73" s="7"/>
      <c r="J73" s="2" t="n">
        <f aca="false">IF(I73&lt;&gt;"",I73,IF(O73&lt;&gt;"",O73,H73))</f>
        <v>91</v>
      </c>
      <c r="K73" s="8" t="s">
        <v>62</v>
      </c>
      <c r="L73" s="8" t="s">
        <v>214</v>
      </c>
      <c r="M73" s="8" t="s">
        <v>215</v>
      </c>
      <c r="N73" s="8" t="s">
        <v>56</v>
      </c>
      <c r="O73" s="0" t="str">
        <f aca="false">IFERROR(IF(option_sel=0,"",IF(LEN(INDEX(Opt_Overview!$C$7:$M$38,MATCH($A73,Opt_Overview!$A$7:$A$38,0),option_sel))=0,"",INDEX(Opt_Overview!$C$7:$M$38,MATCH($A73,Opt_Overview!$A$7:$A$38,0),option_sel))),"")</f>
        <v/>
      </c>
    </row>
    <row r="74" customFormat="false" ht="15" hidden="false" customHeight="false" outlineLevel="0" collapsed="false">
      <c r="A74" s="0" t="s">
        <v>218</v>
      </c>
      <c r="B74" s="0" t="s">
        <v>213</v>
      </c>
      <c r="C74" s="3" t="n">
        <v>68</v>
      </c>
      <c r="D74" s="3" t="n">
        <v>95</v>
      </c>
      <c r="E74" s="3" t="n">
        <v>122</v>
      </c>
      <c r="F74" s="3" t="n">
        <v>2</v>
      </c>
      <c r="G74" s="3" t="n">
        <v>2</v>
      </c>
      <c r="H74" s="8" t="n">
        <f aca="false">INDEX(C74:E74,1,CHOOSE(scenario,F74,2,G74))</f>
        <v>95</v>
      </c>
      <c r="I74" s="7"/>
      <c r="J74" s="2" t="n">
        <f aca="false">IF(I74&lt;&gt;"",I74,IF(O74&lt;&gt;"",O74,H74))</f>
        <v>95</v>
      </c>
      <c r="K74" s="8" t="s">
        <v>62</v>
      </c>
      <c r="L74" s="8" t="s">
        <v>214</v>
      </c>
      <c r="M74" s="8" t="s">
        <v>215</v>
      </c>
      <c r="N74" s="8" t="s">
        <v>56</v>
      </c>
      <c r="O74" s="0" t="str">
        <f aca="false">IFERROR(IF(option_sel=0,"",IF(LEN(INDEX(Opt_Overview!$C$7:$M$38,MATCH($A74,Opt_Overview!$A$7:$A$38,0),option_sel))=0,"",INDEX(Opt_Overview!$C$7:$M$38,MATCH($A74,Opt_Overview!$A$7:$A$38,0),option_sel))),"")</f>
        <v/>
      </c>
    </row>
    <row r="75" customFormat="false" ht="15" hidden="false" customHeight="false" outlineLevel="0" collapsed="false">
      <c r="A75" s="0" t="s">
        <v>219</v>
      </c>
      <c r="B75" s="0" t="s">
        <v>213</v>
      </c>
      <c r="C75" s="3" t="n">
        <v>70</v>
      </c>
      <c r="D75" s="3" t="n">
        <v>100</v>
      </c>
      <c r="E75" s="3" t="n">
        <v>130</v>
      </c>
      <c r="F75" s="3" t="n">
        <v>2</v>
      </c>
      <c r="G75" s="3" t="n">
        <v>2</v>
      </c>
      <c r="H75" s="8" t="n">
        <f aca="false">INDEX(C75:E75,1,CHOOSE(scenario,F75,2,G75))</f>
        <v>100</v>
      </c>
      <c r="I75" s="7"/>
      <c r="J75" s="2" t="n">
        <f aca="false">IF(I75&lt;&gt;"",I75,IF(O75&lt;&gt;"",O75,H75))</f>
        <v>100</v>
      </c>
      <c r="K75" s="8" t="s">
        <v>62</v>
      </c>
      <c r="L75" s="8" t="s">
        <v>214</v>
      </c>
      <c r="M75" s="8" t="s">
        <v>215</v>
      </c>
      <c r="N75" s="8" t="s">
        <v>56</v>
      </c>
      <c r="O75" s="0" t="str">
        <f aca="false">IFERROR(IF(option_sel=0,"",IF(LEN(INDEX(Opt_Overview!$C$7:$M$38,MATCH($A75,Opt_Overview!$A$7:$A$38,0),option_sel))=0,"",INDEX(Opt_Overview!$C$7:$M$38,MATCH($A75,Opt_Overview!$A$7:$A$38,0),option_sel))),"")</f>
        <v/>
      </c>
    </row>
    <row r="76" customFormat="false" ht="15" hidden="false" customHeight="false" outlineLevel="0" collapsed="false">
      <c r="A76" s="0" t="s">
        <v>220</v>
      </c>
      <c r="B76" s="0" t="s">
        <v>213</v>
      </c>
      <c r="C76" s="3" t="n">
        <v>73</v>
      </c>
      <c r="D76" s="3" t="n">
        <v>105</v>
      </c>
      <c r="E76" s="3" t="n">
        <v>142</v>
      </c>
      <c r="F76" s="3" t="n">
        <v>2</v>
      </c>
      <c r="G76" s="3" t="n">
        <v>2</v>
      </c>
      <c r="H76" s="8" t="n">
        <f aca="false">INDEX(C76:E76,1,CHOOSE(scenario,F76,2,G76))</f>
        <v>105</v>
      </c>
      <c r="I76" s="7"/>
      <c r="J76" s="2" t="n">
        <f aca="false">IF(I76&lt;&gt;"",I76,IF(O76&lt;&gt;"",O76,H76))</f>
        <v>105</v>
      </c>
      <c r="K76" s="8" t="s">
        <v>62</v>
      </c>
      <c r="L76" s="8" t="s">
        <v>214</v>
      </c>
      <c r="M76" s="8" t="s">
        <v>215</v>
      </c>
      <c r="N76" s="8" t="s">
        <v>56</v>
      </c>
      <c r="O76" s="0" t="str">
        <f aca="false">IFERROR(IF(option_sel=0,"",IF(LEN(INDEX(Opt_Overview!$C$7:$M$38,MATCH($A76,Opt_Overview!$A$7:$A$38,0),option_sel))=0,"",INDEX(Opt_Overview!$C$7:$M$38,MATCH($A76,Opt_Overview!$A$7:$A$38,0),option_sel))),"")</f>
        <v/>
      </c>
    </row>
    <row r="77" customFormat="false" ht="15" hidden="false" customHeight="false" outlineLevel="0" collapsed="false">
      <c r="A77" s="0" t="s">
        <v>221</v>
      </c>
      <c r="B77" s="0" t="s">
        <v>213</v>
      </c>
      <c r="C77" s="3" t="n">
        <v>76</v>
      </c>
      <c r="D77" s="3" t="n">
        <v>111</v>
      </c>
      <c r="E77" s="3" t="n">
        <v>155</v>
      </c>
      <c r="F77" s="3" t="n">
        <v>2</v>
      </c>
      <c r="G77" s="3" t="n">
        <v>2</v>
      </c>
      <c r="H77" s="8" t="n">
        <f aca="false">INDEX(C77:E77,1,CHOOSE(scenario,F77,2,G77))</f>
        <v>111</v>
      </c>
      <c r="I77" s="7"/>
      <c r="J77" s="2" t="n">
        <f aca="false">IF(I77&lt;&gt;"",I77,IF(O77&lt;&gt;"",O77,H77))</f>
        <v>111</v>
      </c>
      <c r="K77" s="8" t="s">
        <v>62</v>
      </c>
      <c r="L77" s="8" t="s">
        <v>214</v>
      </c>
      <c r="M77" s="8" t="s">
        <v>215</v>
      </c>
      <c r="N77" s="8" t="s">
        <v>56</v>
      </c>
      <c r="O77" s="0" t="str">
        <f aca="false">IFERROR(IF(option_sel=0,"",IF(LEN(INDEX(Opt_Overview!$C$7:$M$38,MATCH($A77,Opt_Overview!$A$7:$A$38,0),option_sel))=0,"",INDEX(Opt_Overview!$C$7:$M$38,MATCH($A77,Opt_Overview!$A$7:$A$38,0),option_sel))),"")</f>
        <v/>
      </c>
    </row>
    <row r="78" customFormat="false" ht="15" hidden="false" customHeight="false" outlineLevel="0" collapsed="false">
      <c r="A78" s="0" t="s">
        <v>222</v>
      </c>
      <c r="B78" s="0" t="s">
        <v>213</v>
      </c>
      <c r="C78" s="3" t="n">
        <v>80</v>
      </c>
      <c r="D78" s="3" t="n">
        <v>118</v>
      </c>
      <c r="E78" s="3" t="n">
        <v>167</v>
      </c>
      <c r="F78" s="3" t="n">
        <v>2</v>
      </c>
      <c r="G78" s="3" t="n">
        <v>2</v>
      </c>
      <c r="H78" s="8" t="n">
        <f aca="false">INDEX(C78:E78,1,CHOOSE(scenario,F78,2,G78))</f>
        <v>118</v>
      </c>
      <c r="I78" s="7"/>
      <c r="J78" s="2" t="n">
        <f aca="false">IF(I78&lt;&gt;"",I78,IF(O78&lt;&gt;"",O78,H78))</f>
        <v>118</v>
      </c>
      <c r="K78" s="8" t="s">
        <v>62</v>
      </c>
      <c r="L78" s="8" t="s">
        <v>214</v>
      </c>
      <c r="M78" s="8" t="s">
        <v>215</v>
      </c>
      <c r="N78" s="8" t="s">
        <v>56</v>
      </c>
      <c r="O78" s="0" t="str">
        <f aca="false">IFERROR(IF(option_sel=0,"",IF(LEN(INDEX(Opt_Overview!$C$7:$M$38,MATCH($A78,Opt_Overview!$A$7:$A$38,0),option_sel))=0,"",INDEX(Opt_Overview!$C$7:$M$38,MATCH($A78,Opt_Overview!$A$7:$A$38,0),option_sel))),"")</f>
        <v/>
      </c>
    </row>
    <row r="79" customFormat="false" ht="15" hidden="false" customHeight="false" outlineLevel="0" collapsed="false">
      <c r="A79" s="0" t="s">
        <v>223</v>
      </c>
      <c r="B79" s="0" t="s">
        <v>213</v>
      </c>
      <c r="C79" s="3" t="n">
        <v>85</v>
      </c>
      <c r="D79" s="3" t="n">
        <v>125</v>
      </c>
      <c r="E79" s="3" t="n">
        <v>180</v>
      </c>
      <c r="F79" s="3" t="n">
        <v>2</v>
      </c>
      <c r="G79" s="3" t="n">
        <v>2</v>
      </c>
      <c r="H79" s="8" t="n">
        <f aca="false">INDEX(C79:E79,1,CHOOSE(scenario,F79,2,G79))</f>
        <v>125</v>
      </c>
      <c r="I79" s="7"/>
      <c r="J79" s="2" t="n">
        <f aca="false">IF(I79&lt;&gt;"",I79,IF(O79&lt;&gt;"",O79,H79))</f>
        <v>125</v>
      </c>
      <c r="K79" s="8" t="s">
        <v>62</v>
      </c>
      <c r="L79" s="8" t="s">
        <v>214</v>
      </c>
      <c r="M79" s="8" t="s">
        <v>215</v>
      </c>
      <c r="N79" s="8" t="s">
        <v>56</v>
      </c>
      <c r="O79" s="0" t="str">
        <f aca="false">IFERROR(IF(option_sel=0,"",IF(LEN(INDEX(Opt_Overview!$C$7:$M$38,MATCH($A79,Opt_Overview!$A$7:$A$38,0),option_sel))=0,"",INDEX(Opt_Overview!$C$7:$M$38,MATCH($A79,Opt_Overview!$A$7:$A$38,0),option_sel))),"")</f>
        <v/>
      </c>
    </row>
    <row r="80" customFormat="false" ht="15" hidden="false" customHeight="false" outlineLevel="0" collapsed="false">
      <c r="A80" s="0" t="s">
        <v>224</v>
      </c>
      <c r="B80" s="0" t="s">
        <v>213</v>
      </c>
      <c r="C80" s="3" t="n">
        <v>85</v>
      </c>
      <c r="D80" s="3" t="n">
        <v>125</v>
      </c>
      <c r="E80" s="3" t="n">
        <v>180</v>
      </c>
      <c r="F80" s="3" t="n">
        <v>2</v>
      </c>
      <c r="G80" s="3" t="n">
        <v>2</v>
      </c>
      <c r="H80" s="8" t="n">
        <f aca="false">INDEX(C80:E80,1,CHOOSE(scenario,F80,2,G80))</f>
        <v>125</v>
      </c>
      <c r="I80" s="7"/>
      <c r="J80" s="2" t="n">
        <f aca="false">IF(I80&lt;&gt;"",I80,IF(O80&lt;&gt;"",O80,H80))</f>
        <v>125</v>
      </c>
      <c r="K80" s="8" t="s">
        <v>62</v>
      </c>
      <c r="L80" s="8" t="s">
        <v>214</v>
      </c>
      <c r="M80" s="8" t="s">
        <v>215</v>
      </c>
      <c r="N80" s="8" t="s">
        <v>56</v>
      </c>
      <c r="O80" s="0" t="str">
        <f aca="false">IFERROR(IF(option_sel=0,"",IF(LEN(INDEX(Opt_Overview!$C$7:$M$38,MATCH($A80,Opt_Overview!$A$7:$A$38,0),option_sel))=0,"",INDEX(Opt_Overview!$C$7:$M$38,MATCH($A80,Opt_Overview!$A$7:$A$38,0),option_sel))),"")</f>
        <v/>
      </c>
    </row>
    <row r="81" customFormat="false" ht="15" hidden="false" customHeight="false" outlineLevel="0" collapsed="false">
      <c r="A81" s="0" t="s">
        <v>225</v>
      </c>
      <c r="B81" s="0" t="s">
        <v>213</v>
      </c>
      <c r="C81" s="3" t="n">
        <v>85</v>
      </c>
      <c r="D81" s="3" t="n">
        <v>125</v>
      </c>
      <c r="E81" s="3" t="n">
        <v>180</v>
      </c>
      <c r="F81" s="3" t="n">
        <v>2</v>
      </c>
      <c r="G81" s="3" t="n">
        <v>2</v>
      </c>
      <c r="H81" s="8" t="n">
        <f aca="false">INDEX(C81:E81,1,CHOOSE(scenario,F81,2,G81))</f>
        <v>125</v>
      </c>
      <c r="I81" s="7"/>
      <c r="J81" s="2" t="n">
        <f aca="false">IF(I81&lt;&gt;"",I81,IF(O81&lt;&gt;"",O81,H81))</f>
        <v>125</v>
      </c>
      <c r="K81" s="8" t="s">
        <v>62</v>
      </c>
      <c r="L81" s="8" t="s">
        <v>214</v>
      </c>
      <c r="M81" s="8" t="s">
        <v>215</v>
      </c>
      <c r="N81" s="8" t="s">
        <v>56</v>
      </c>
      <c r="O81" s="0" t="str">
        <f aca="false">IFERROR(IF(option_sel=0,"",IF(LEN(INDEX(Opt_Overview!$C$7:$M$38,MATCH($A81,Opt_Overview!$A$7:$A$38,0),option_sel))=0,"",INDEX(Opt_Overview!$C$7:$M$38,MATCH($A81,Opt_Overview!$A$7:$A$38,0),option_sel))),"")</f>
        <v/>
      </c>
    </row>
    <row r="82" customFormat="false" ht="15" hidden="false" customHeight="false" outlineLevel="0" collapsed="false">
      <c r="A82" s="0" t="s">
        <v>226</v>
      </c>
      <c r="B82" s="0" t="s">
        <v>227</v>
      </c>
      <c r="C82" s="3" t="n">
        <v>10.7</v>
      </c>
      <c r="D82" s="3" t="n">
        <v>14.3</v>
      </c>
      <c r="E82" s="3" t="n">
        <v>17.8</v>
      </c>
      <c r="F82" s="3" t="n">
        <v>2</v>
      </c>
      <c r="G82" s="3" t="n">
        <v>2</v>
      </c>
      <c r="H82" s="8" t="n">
        <f aca="false">INDEX(C82:E82,1,CHOOSE(scenario,F82,2,G82))</f>
        <v>14.3</v>
      </c>
      <c r="I82" s="7"/>
      <c r="J82" s="2" t="n">
        <f aca="false">IF(I82&lt;&gt;"",I82,IF(O82&lt;&gt;"",O82,H82))</f>
        <v>14.3</v>
      </c>
      <c r="K82" s="8" t="s">
        <v>62</v>
      </c>
      <c r="L82" s="8" t="s">
        <v>228</v>
      </c>
      <c r="M82" s="8" t="s">
        <v>229</v>
      </c>
      <c r="N82" s="8" t="s">
        <v>56</v>
      </c>
      <c r="O82" s="0" t="str">
        <f aca="false">IFERROR(IF(option_sel=0,"",IF(LEN(INDEX(Opt_Overview!$C$7:$M$38,MATCH($A82,Opt_Overview!$A$7:$A$38,0),option_sel))=0,"",INDEX(Opt_Overview!$C$7:$M$38,MATCH($A82,Opt_Overview!$A$7:$A$38,0),option_sel))),"")</f>
        <v/>
      </c>
    </row>
    <row r="83" customFormat="false" ht="15" hidden="false" customHeight="false" outlineLevel="0" collapsed="false">
      <c r="A83" s="0" t="s">
        <v>230</v>
      </c>
      <c r="B83" s="0" t="s">
        <v>227</v>
      </c>
      <c r="C83" s="3" t="n">
        <v>9.2</v>
      </c>
      <c r="D83" s="3" t="n">
        <v>16.1</v>
      </c>
      <c r="E83" s="3" t="n">
        <v>23.6</v>
      </c>
      <c r="F83" s="3" t="n">
        <v>2</v>
      </c>
      <c r="G83" s="3" t="n">
        <v>2</v>
      </c>
      <c r="H83" s="8" t="n">
        <f aca="false">INDEX(C83:E83,1,CHOOSE(scenario,F83,2,G83))</f>
        <v>16.1</v>
      </c>
      <c r="I83" s="7"/>
      <c r="J83" s="2" t="n">
        <f aca="false">IF(I83&lt;&gt;"",I83,IF(O83&lt;&gt;"",O83,H83))</f>
        <v>16.1</v>
      </c>
      <c r="K83" s="8" t="s">
        <v>62</v>
      </c>
      <c r="L83" s="8" t="s">
        <v>228</v>
      </c>
      <c r="M83" s="8" t="s">
        <v>229</v>
      </c>
      <c r="N83" s="8" t="s">
        <v>56</v>
      </c>
      <c r="O83" s="0" t="str">
        <f aca="false">IFERROR(IF(option_sel=0,"",IF(LEN(INDEX(Opt_Overview!$C$7:$M$38,MATCH($A83,Opt_Overview!$A$7:$A$38,0),option_sel))=0,"",INDEX(Opt_Overview!$C$7:$M$38,MATCH($A83,Opt_Overview!$A$7:$A$38,0),option_sel))),"")</f>
        <v/>
      </c>
    </row>
    <row r="84" customFormat="false" ht="15" hidden="false" customHeight="false" outlineLevel="0" collapsed="false">
      <c r="A84" s="0" t="s">
        <v>231</v>
      </c>
      <c r="B84" s="0" t="s">
        <v>227</v>
      </c>
      <c r="C84" s="3" t="n">
        <v>10.8</v>
      </c>
      <c r="D84" s="3" t="n">
        <v>19.4</v>
      </c>
      <c r="E84" s="3" t="n">
        <v>28.9</v>
      </c>
      <c r="F84" s="3" t="n">
        <v>2</v>
      </c>
      <c r="G84" s="3" t="n">
        <v>2</v>
      </c>
      <c r="H84" s="8" t="n">
        <f aca="false">INDEX(C84:E84,1,CHOOSE(scenario,F84,2,G84))</f>
        <v>19.4</v>
      </c>
      <c r="I84" s="7"/>
      <c r="J84" s="2" t="n">
        <f aca="false">IF(I84&lt;&gt;"",I84,IF(O84&lt;&gt;"",O84,H84))</f>
        <v>19.4</v>
      </c>
      <c r="K84" s="8" t="s">
        <v>62</v>
      </c>
      <c r="L84" s="8" t="s">
        <v>228</v>
      </c>
      <c r="M84" s="8" t="s">
        <v>229</v>
      </c>
      <c r="N84" s="8" t="s">
        <v>56</v>
      </c>
      <c r="O84" s="0" t="str">
        <f aca="false">IFERROR(IF(option_sel=0,"",IF(LEN(INDEX(Opt_Overview!$C$7:$M$38,MATCH($A84,Opt_Overview!$A$7:$A$38,0),option_sel))=0,"",INDEX(Opt_Overview!$C$7:$M$38,MATCH($A84,Opt_Overview!$A$7:$A$38,0),option_sel))),"")</f>
        <v/>
      </c>
    </row>
    <row r="85" customFormat="false" ht="15" hidden="false" customHeight="false" outlineLevel="0" collapsed="false">
      <c r="A85" s="0" t="s">
        <v>232</v>
      </c>
      <c r="B85" s="0" t="s">
        <v>227</v>
      </c>
      <c r="C85" s="3" t="n">
        <v>15.2</v>
      </c>
      <c r="D85" s="3" t="n">
        <v>27.5</v>
      </c>
      <c r="E85" s="3" t="n">
        <v>40.8</v>
      </c>
      <c r="F85" s="3" t="n">
        <v>2</v>
      </c>
      <c r="G85" s="3" t="n">
        <v>2</v>
      </c>
      <c r="H85" s="8" t="n">
        <f aca="false">INDEX(C85:E85,1,CHOOSE(scenario,F85,2,G85))</f>
        <v>27.5</v>
      </c>
      <c r="I85" s="7"/>
      <c r="J85" s="2" t="n">
        <f aca="false">IF(I85&lt;&gt;"",I85,IF(O85&lt;&gt;"",O85,H85))</f>
        <v>27.5</v>
      </c>
      <c r="K85" s="8" t="s">
        <v>62</v>
      </c>
      <c r="L85" s="8" t="s">
        <v>228</v>
      </c>
      <c r="M85" s="8" t="s">
        <v>229</v>
      </c>
      <c r="N85" s="8" t="s">
        <v>56</v>
      </c>
      <c r="O85" s="0" t="str">
        <f aca="false">IFERROR(IF(option_sel=0,"",IF(LEN(INDEX(Opt_Overview!$C$7:$M$38,MATCH($A85,Opt_Overview!$A$7:$A$38,0),option_sel))=0,"",INDEX(Opt_Overview!$C$7:$M$38,MATCH($A85,Opt_Overview!$A$7:$A$38,0),option_sel))),"")</f>
        <v/>
      </c>
    </row>
    <row r="86" customFormat="false" ht="15" hidden="false" customHeight="false" outlineLevel="0" collapsed="false">
      <c r="A86" s="0" t="s">
        <v>233</v>
      </c>
      <c r="B86" s="0" t="s">
        <v>227</v>
      </c>
      <c r="C86" s="3" t="n">
        <v>24.8</v>
      </c>
      <c r="D86" s="3" t="n">
        <v>44.8</v>
      </c>
      <c r="E86" s="3" t="n">
        <v>64.5</v>
      </c>
      <c r="F86" s="3" t="n">
        <v>2</v>
      </c>
      <c r="G86" s="3" t="n">
        <v>2</v>
      </c>
      <c r="H86" s="8" t="n">
        <f aca="false">INDEX(C86:E86,1,CHOOSE(scenario,F86,2,G86))</f>
        <v>44.8</v>
      </c>
      <c r="I86" s="7"/>
      <c r="J86" s="2" t="n">
        <f aca="false">IF(I86&lt;&gt;"",I86,IF(O86&lt;&gt;"",O86,H86))</f>
        <v>44.8</v>
      </c>
      <c r="K86" s="8" t="s">
        <v>62</v>
      </c>
      <c r="L86" s="8" t="s">
        <v>228</v>
      </c>
      <c r="M86" s="8" t="s">
        <v>229</v>
      </c>
      <c r="N86" s="8" t="s">
        <v>56</v>
      </c>
      <c r="O86" s="0" t="str">
        <f aca="false">IFERROR(IF(option_sel=0,"",IF(LEN(INDEX(Opt_Overview!$C$7:$M$38,MATCH($A86,Opt_Overview!$A$7:$A$38,0),option_sel))=0,"",INDEX(Opt_Overview!$C$7:$M$38,MATCH($A86,Opt_Overview!$A$7:$A$38,0),option_sel))),"")</f>
        <v/>
      </c>
    </row>
    <row r="87" customFormat="false" ht="15" hidden="false" customHeight="false" outlineLevel="0" collapsed="false">
      <c r="A87" s="0" t="s">
        <v>234</v>
      </c>
      <c r="B87" s="0" t="s">
        <v>227</v>
      </c>
      <c r="C87" s="3" t="n">
        <v>30.6</v>
      </c>
      <c r="D87" s="3" t="n">
        <v>55.1</v>
      </c>
      <c r="E87" s="3" t="n">
        <v>81.5</v>
      </c>
      <c r="F87" s="3" t="n">
        <v>2</v>
      </c>
      <c r="G87" s="3" t="n">
        <v>2</v>
      </c>
      <c r="H87" s="8" t="n">
        <f aca="false">INDEX(C87:E87,1,CHOOSE(scenario,F87,2,G87))</f>
        <v>55.1</v>
      </c>
      <c r="I87" s="7"/>
      <c r="J87" s="2" t="n">
        <f aca="false">IF(I87&lt;&gt;"",I87,IF(O87&lt;&gt;"",O87,H87))</f>
        <v>55.1</v>
      </c>
      <c r="K87" s="8" t="s">
        <v>62</v>
      </c>
      <c r="L87" s="8" t="s">
        <v>228</v>
      </c>
      <c r="M87" s="8" t="s">
        <v>229</v>
      </c>
      <c r="N87" s="8" t="s">
        <v>56</v>
      </c>
      <c r="O87" s="0" t="str">
        <f aca="false">IFERROR(IF(option_sel=0,"",IF(LEN(INDEX(Opt_Overview!$C$7:$M$38,MATCH($A87,Opt_Overview!$A$7:$A$38,0),option_sel))=0,"",INDEX(Opt_Overview!$C$7:$M$38,MATCH($A87,Opt_Overview!$A$7:$A$38,0),option_sel))),"")</f>
        <v/>
      </c>
    </row>
    <row r="88" customFormat="false" ht="15" hidden="false" customHeight="false" outlineLevel="0" collapsed="false">
      <c r="A88" s="0" t="s">
        <v>235</v>
      </c>
      <c r="B88" s="0" t="s">
        <v>227</v>
      </c>
      <c r="C88" s="3" t="n">
        <v>36.5</v>
      </c>
      <c r="D88" s="3" t="n">
        <v>66.7</v>
      </c>
      <c r="E88" s="3" t="n">
        <v>101</v>
      </c>
      <c r="F88" s="3" t="n">
        <v>2</v>
      </c>
      <c r="G88" s="3" t="n">
        <v>2</v>
      </c>
      <c r="H88" s="8" t="n">
        <f aca="false">INDEX(C88:E88,1,CHOOSE(scenario,F88,2,G88))</f>
        <v>66.7</v>
      </c>
      <c r="I88" s="7"/>
      <c r="J88" s="2" t="n">
        <f aca="false">IF(I88&lt;&gt;"",I88,IF(O88&lt;&gt;"",O88,H88))</f>
        <v>66.7</v>
      </c>
      <c r="K88" s="8" t="s">
        <v>62</v>
      </c>
      <c r="L88" s="8" t="s">
        <v>228</v>
      </c>
      <c r="M88" s="8" t="s">
        <v>229</v>
      </c>
      <c r="N88" s="8" t="s">
        <v>56</v>
      </c>
      <c r="O88" s="0" t="str">
        <f aca="false">IFERROR(IF(option_sel=0,"",IF(LEN(INDEX(Opt_Overview!$C$7:$M$38,MATCH($A88,Opt_Overview!$A$7:$A$38,0),option_sel))=0,"",INDEX(Opt_Overview!$C$7:$M$38,MATCH($A88,Opt_Overview!$A$7:$A$38,0),option_sel))),"")</f>
        <v/>
      </c>
    </row>
    <row r="89" customFormat="false" ht="15" hidden="false" customHeight="false" outlineLevel="0" collapsed="false">
      <c r="A89" s="0" t="s">
        <v>236</v>
      </c>
      <c r="B89" s="0" t="s">
        <v>227</v>
      </c>
      <c r="C89" s="3" t="n">
        <v>43.4</v>
      </c>
      <c r="D89" s="3" t="n">
        <v>79.9</v>
      </c>
      <c r="E89" s="3" t="n">
        <v>121.9</v>
      </c>
      <c r="F89" s="3" t="n">
        <v>2</v>
      </c>
      <c r="G89" s="3" t="n">
        <v>2</v>
      </c>
      <c r="H89" s="8" t="n">
        <f aca="false">INDEX(C89:E89,1,CHOOSE(scenario,F89,2,G89))</f>
        <v>79.9</v>
      </c>
      <c r="I89" s="7"/>
      <c r="J89" s="2" t="n">
        <f aca="false">IF(I89&lt;&gt;"",I89,IF(O89&lt;&gt;"",O89,H89))</f>
        <v>79.9</v>
      </c>
      <c r="K89" s="8" t="s">
        <v>62</v>
      </c>
      <c r="L89" s="8" t="s">
        <v>228</v>
      </c>
      <c r="M89" s="8" t="s">
        <v>229</v>
      </c>
      <c r="N89" s="8" t="s">
        <v>56</v>
      </c>
      <c r="O89" s="0" t="str">
        <f aca="false">IFERROR(IF(option_sel=0,"",IF(LEN(INDEX(Opt_Overview!$C$7:$M$38,MATCH($A89,Opt_Overview!$A$7:$A$38,0),option_sel))=0,"",INDEX(Opt_Overview!$C$7:$M$38,MATCH($A89,Opt_Overview!$A$7:$A$38,0),option_sel))),"")</f>
        <v/>
      </c>
    </row>
    <row r="90" customFormat="false" ht="15" hidden="false" customHeight="false" outlineLevel="0" collapsed="false">
      <c r="A90" s="0" t="s">
        <v>237</v>
      </c>
      <c r="B90" s="0" t="s">
        <v>227</v>
      </c>
      <c r="C90" s="3" t="n">
        <v>51.1</v>
      </c>
      <c r="D90" s="3" t="n">
        <v>95.3</v>
      </c>
      <c r="E90" s="3" t="n">
        <v>147.1</v>
      </c>
      <c r="F90" s="3" t="n">
        <v>2</v>
      </c>
      <c r="G90" s="3" t="n">
        <v>2</v>
      </c>
      <c r="H90" s="8" t="n">
        <f aca="false">INDEX(C90:E90,1,CHOOSE(scenario,F90,2,G90))</f>
        <v>95.3</v>
      </c>
      <c r="I90" s="7"/>
      <c r="J90" s="2" t="n">
        <f aca="false">IF(I90&lt;&gt;"",I90,IF(O90&lt;&gt;"",O90,H90))</f>
        <v>95.3</v>
      </c>
      <c r="K90" s="8" t="s">
        <v>62</v>
      </c>
      <c r="L90" s="8" t="s">
        <v>228</v>
      </c>
      <c r="M90" s="8" t="s">
        <v>229</v>
      </c>
      <c r="N90" s="8" t="s">
        <v>56</v>
      </c>
      <c r="O90" s="0" t="str">
        <f aca="false">IFERROR(IF(option_sel=0,"",IF(LEN(INDEX(Opt_Overview!$C$7:$M$38,MATCH($A90,Opt_Overview!$A$7:$A$38,0),option_sel))=0,"",INDEX(Opt_Overview!$C$7:$M$38,MATCH($A90,Opt_Overview!$A$7:$A$38,0),option_sel))),"")</f>
        <v/>
      </c>
    </row>
    <row r="91" customFormat="false" ht="15" hidden="false" customHeight="false" outlineLevel="0" collapsed="false">
      <c r="A91" s="0" t="s">
        <v>238</v>
      </c>
      <c r="B91" s="0" t="s">
        <v>227</v>
      </c>
      <c r="C91" s="3" t="n">
        <v>54.7</v>
      </c>
      <c r="D91" s="3" t="n">
        <v>95.3</v>
      </c>
      <c r="E91" s="3" t="n">
        <v>147.1</v>
      </c>
      <c r="F91" s="3" t="n">
        <v>2</v>
      </c>
      <c r="G91" s="3" t="n">
        <v>2</v>
      </c>
      <c r="H91" s="8" t="n">
        <f aca="false">INDEX(C91:E91,1,CHOOSE(scenario,F91,2,G91))</f>
        <v>95.3</v>
      </c>
      <c r="I91" s="7"/>
      <c r="J91" s="2" t="n">
        <f aca="false">IF(I91&lt;&gt;"",I91,IF(O91&lt;&gt;"",O91,H91))</f>
        <v>95.3</v>
      </c>
      <c r="K91" s="8" t="s">
        <v>62</v>
      </c>
      <c r="L91" s="8" t="s">
        <v>228</v>
      </c>
      <c r="M91" s="8" t="s">
        <v>229</v>
      </c>
      <c r="N91" s="8" t="s">
        <v>56</v>
      </c>
      <c r="O91" s="0" t="str">
        <f aca="false">IFERROR(IF(option_sel=0,"",IF(LEN(INDEX(Opt_Overview!$C$7:$M$38,MATCH($A91,Opt_Overview!$A$7:$A$38,0),option_sel))=0,"",INDEX(Opt_Overview!$C$7:$M$38,MATCH($A91,Opt_Overview!$A$7:$A$38,0),option_sel))),"")</f>
        <v/>
      </c>
    </row>
    <row r="92" customFormat="false" ht="15" hidden="false" customHeight="false" outlineLevel="0" collapsed="false">
      <c r="A92" s="0" t="s">
        <v>239</v>
      </c>
      <c r="B92" s="0" t="s">
        <v>227</v>
      </c>
      <c r="C92" s="3" t="n">
        <v>57.2</v>
      </c>
      <c r="D92" s="3" t="n">
        <v>95.3</v>
      </c>
      <c r="E92" s="3" t="n">
        <v>147.1</v>
      </c>
      <c r="F92" s="3" t="n">
        <v>2</v>
      </c>
      <c r="G92" s="3" t="n">
        <v>2</v>
      </c>
      <c r="H92" s="8" t="n">
        <f aca="false">INDEX(C92:E92,1,CHOOSE(scenario,F92,2,G92))</f>
        <v>95.3</v>
      </c>
      <c r="I92" s="7"/>
      <c r="J92" s="2" t="n">
        <f aca="false">IF(I92&lt;&gt;"",I92,IF(O92&lt;&gt;"",O92,H92))</f>
        <v>95.3</v>
      </c>
      <c r="K92" s="8" t="s">
        <v>62</v>
      </c>
      <c r="L92" s="8" t="s">
        <v>228</v>
      </c>
      <c r="M92" s="8" t="s">
        <v>229</v>
      </c>
      <c r="N92" s="8" t="s">
        <v>56</v>
      </c>
      <c r="O92" s="0" t="str">
        <f aca="false">IFERROR(IF(option_sel=0,"",IF(LEN(INDEX(Opt_Overview!$C$7:$M$38,MATCH($A92,Opt_Overview!$A$7:$A$38,0),option_sel))=0,"",INDEX(Opt_Overview!$C$7:$M$38,MATCH($A92,Opt_Overview!$A$7:$A$38,0),option_sel))),"")</f>
        <v/>
      </c>
    </row>
    <row r="93" customFormat="false" ht="15" hidden="false" customHeight="false" outlineLevel="0" collapsed="false">
      <c r="A93" s="0" t="s">
        <v>240</v>
      </c>
      <c r="B93" s="0" t="s">
        <v>227</v>
      </c>
      <c r="C93" s="3" t="n">
        <v>2.4</v>
      </c>
      <c r="D93" s="3" t="n">
        <v>3.8</v>
      </c>
      <c r="E93" s="3" t="n">
        <v>5.6</v>
      </c>
      <c r="F93" s="3" t="n">
        <v>3</v>
      </c>
      <c r="G93" s="3" t="n">
        <v>1</v>
      </c>
      <c r="H93" s="8" t="n">
        <f aca="false">INDEX(C93:E93,1,CHOOSE(scenario,F93,2,G93))</f>
        <v>3.8</v>
      </c>
      <c r="I93" s="7"/>
      <c r="J93" s="2" t="n">
        <f aca="false">IF(I93&lt;&gt;"",I93,IF(O93&lt;&gt;"",O93,H93))</f>
        <v>3.8</v>
      </c>
      <c r="K93" s="8" t="s">
        <v>62</v>
      </c>
      <c r="L93" s="8" t="s">
        <v>228</v>
      </c>
      <c r="M93" s="8" t="s">
        <v>241</v>
      </c>
      <c r="N93" s="8" t="s">
        <v>114</v>
      </c>
      <c r="O93" s="0" t="str">
        <f aca="false">IFERROR(IF(option_sel=0,"",IF(LEN(INDEX(Opt_Overview!$C$7:$M$38,MATCH($A93,Opt_Overview!$A$7:$A$38,0),option_sel))=0,"",INDEX(Opt_Overview!$C$7:$M$38,MATCH($A93,Opt_Overview!$A$7:$A$38,0),option_sel))),"")</f>
        <v/>
      </c>
    </row>
    <row r="94" customFormat="false" ht="15" hidden="false" customHeight="false" outlineLevel="0" collapsed="false">
      <c r="A94" s="0" t="s">
        <v>242</v>
      </c>
      <c r="B94" s="0" t="s">
        <v>227</v>
      </c>
      <c r="C94" s="3" t="n">
        <v>2</v>
      </c>
      <c r="D94" s="3" t="n">
        <v>4.3</v>
      </c>
      <c r="E94" s="3" t="n">
        <v>7.5</v>
      </c>
      <c r="F94" s="3" t="n">
        <v>3</v>
      </c>
      <c r="G94" s="3" t="n">
        <v>1</v>
      </c>
      <c r="H94" s="8" t="n">
        <f aca="false">INDEX(C94:E94,1,CHOOSE(scenario,F94,2,G94))</f>
        <v>4.3</v>
      </c>
      <c r="I94" s="7"/>
      <c r="J94" s="2" t="n">
        <f aca="false">IF(I94&lt;&gt;"",I94,IF(O94&lt;&gt;"",O94,H94))</f>
        <v>4.3</v>
      </c>
      <c r="K94" s="8" t="s">
        <v>62</v>
      </c>
      <c r="L94" s="8" t="s">
        <v>228</v>
      </c>
      <c r="M94" s="8" t="s">
        <v>241</v>
      </c>
      <c r="N94" s="8" t="s">
        <v>114</v>
      </c>
      <c r="O94" s="0" t="str">
        <f aca="false">IFERROR(IF(option_sel=0,"",IF(LEN(INDEX(Opt_Overview!$C$7:$M$38,MATCH($A94,Opt_Overview!$A$7:$A$38,0),option_sel))=0,"",INDEX(Opt_Overview!$C$7:$M$38,MATCH($A94,Opt_Overview!$A$7:$A$38,0),option_sel))),"")</f>
        <v/>
      </c>
    </row>
    <row r="95" customFormat="false" ht="15" hidden="false" customHeight="false" outlineLevel="0" collapsed="false">
      <c r="A95" s="0" t="s">
        <v>243</v>
      </c>
      <c r="B95" s="0" t="s">
        <v>227</v>
      </c>
      <c r="C95" s="3" t="n">
        <v>2.4</v>
      </c>
      <c r="D95" s="3" t="n">
        <v>5.2</v>
      </c>
      <c r="E95" s="3" t="n">
        <v>9.1</v>
      </c>
      <c r="F95" s="3" t="n">
        <v>3</v>
      </c>
      <c r="G95" s="3" t="n">
        <v>1</v>
      </c>
      <c r="H95" s="8" t="n">
        <f aca="false">INDEX(C95:E95,1,CHOOSE(scenario,F95,2,G95))</f>
        <v>5.2</v>
      </c>
      <c r="I95" s="7"/>
      <c r="J95" s="2" t="n">
        <f aca="false">IF(I95&lt;&gt;"",I95,IF(O95&lt;&gt;"",O95,H95))</f>
        <v>5.2</v>
      </c>
      <c r="K95" s="8" t="s">
        <v>62</v>
      </c>
      <c r="L95" s="8" t="s">
        <v>228</v>
      </c>
      <c r="M95" s="8" t="s">
        <v>241</v>
      </c>
      <c r="N95" s="8" t="s">
        <v>114</v>
      </c>
      <c r="O95" s="0" t="str">
        <f aca="false">IFERROR(IF(option_sel=0,"",IF(LEN(INDEX(Opt_Overview!$C$7:$M$38,MATCH($A95,Opt_Overview!$A$7:$A$38,0),option_sel))=0,"",INDEX(Opt_Overview!$C$7:$M$38,MATCH($A95,Opt_Overview!$A$7:$A$38,0),option_sel))),"")</f>
        <v/>
      </c>
    </row>
    <row r="96" customFormat="false" ht="15" hidden="false" customHeight="false" outlineLevel="0" collapsed="false">
      <c r="A96" s="0" t="s">
        <v>244</v>
      </c>
      <c r="B96" s="0" t="s">
        <v>227</v>
      </c>
      <c r="C96" s="3" t="n">
        <v>3.4</v>
      </c>
      <c r="D96" s="3" t="n">
        <v>7.4</v>
      </c>
      <c r="E96" s="3" t="n">
        <v>12.9</v>
      </c>
      <c r="F96" s="3" t="n">
        <v>3</v>
      </c>
      <c r="G96" s="3" t="n">
        <v>1</v>
      </c>
      <c r="H96" s="8" t="n">
        <f aca="false">INDEX(C96:E96,1,CHOOSE(scenario,F96,2,G96))</f>
        <v>7.4</v>
      </c>
      <c r="I96" s="7"/>
      <c r="J96" s="2" t="n">
        <f aca="false">IF(I96&lt;&gt;"",I96,IF(O96&lt;&gt;"",O96,H96))</f>
        <v>7.4</v>
      </c>
      <c r="K96" s="8" t="s">
        <v>62</v>
      </c>
      <c r="L96" s="8" t="s">
        <v>228</v>
      </c>
      <c r="M96" s="8" t="s">
        <v>241</v>
      </c>
      <c r="N96" s="8" t="s">
        <v>114</v>
      </c>
      <c r="O96" s="0" t="str">
        <f aca="false">IFERROR(IF(option_sel=0,"",IF(LEN(INDEX(Opt_Overview!$C$7:$M$38,MATCH($A96,Opt_Overview!$A$7:$A$38,0),option_sel))=0,"",INDEX(Opt_Overview!$C$7:$M$38,MATCH($A96,Opt_Overview!$A$7:$A$38,0),option_sel))),"")</f>
        <v/>
      </c>
    </row>
    <row r="97" customFormat="false" ht="15" hidden="false" customHeight="false" outlineLevel="0" collapsed="false">
      <c r="A97" s="0" t="s">
        <v>245</v>
      </c>
      <c r="B97" s="0" t="s">
        <v>227</v>
      </c>
      <c r="C97" s="3" t="n">
        <v>5.5</v>
      </c>
      <c r="D97" s="3" t="n">
        <v>12.1</v>
      </c>
      <c r="E97" s="3" t="n">
        <v>20.4</v>
      </c>
      <c r="F97" s="3" t="n">
        <v>3</v>
      </c>
      <c r="G97" s="3" t="n">
        <v>1</v>
      </c>
      <c r="H97" s="8" t="n">
        <f aca="false">INDEX(C97:E97,1,CHOOSE(scenario,F97,2,G97))</f>
        <v>12.1</v>
      </c>
      <c r="I97" s="7"/>
      <c r="J97" s="2" t="n">
        <f aca="false">IF(I97&lt;&gt;"",I97,IF(O97&lt;&gt;"",O97,H97))</f>
        <v>12.1</v>
      </c>
      <c r="K97" s="8" t="s">
        <v>62</v>
      </c>
      <c r="L97" s="8" t="s">
        <v>228</v>
      </c>
      <c r="M97" s="8" t="s">
        <v>241</v>
      </c>
      <c r="N97" s="8" t="s">
        <v>114</v>
      </c>
      <c r="O97" s="0" t="str">
        <f aca="false">IFERROR(IF(option_sel=0,"",IF(LEN(INDEX(Opt_Overview!$C$7:$M$38,MATCH($A97,Opt_Overview!$A$7:$A$38,0),option_sel))=0,"",INDEX(Opt_Overview!$C$7:$M$38,MATCH($A97,Opt_Overview!$A$7:$A$38,0),option_sel))),"")</f>
        <v/>
      </c>
    </row>
    <row r="98" customFormat="false" ht="15" hidden="false" customHeight="false" outlineLevel="0" collapsed="false">
      <c r="A98" s="0" t="s">
        <v>246</v>
      </c>
      <c r="B98" s="0" t="s">
        <v>227</v>
      </c>
      <c r="C98" s="3" t="n">
        <v>6.8</v>
      </c>
      <c r="D98" s="3" t="n">
        <v>14.8</v>
      </c>
      <c r="E98" s="3" t="n">
        <v>25.7</v>
      </c>
      <c r="F98" s="3" t="n">
        <v>3</v>
      </c>
      <c r="G98" s="3" t="n">
        <v>1</v>
      </c>
      <c r="H98" s="8" t="n">
        <f aca="false">INDEX(C98:E98,1,CHOOSE(scenario,F98,2,G98))</f>
        <v>14.8</v>
      </c>
      <c r="I98" s="7"/>
      <c r="J98" s="2" t="n">
        <f aca="false">IF(I98&lt;&gt;"",I98,IF(O98&lt;&gt;"",O98,H98))</f>
        <v>14.8</v>
      </c>
      <c r="K98" s="8" t="s">
        <v>62</v>
      </c>
      <c r="L98" s="8" t="s">
        <v>228</v>
      </c>
      <c r="M98" s="8" t="s">
        <v>241</v>
      </c>
      <c r="N98" s="8" t="s">
        <v>114</v>
      </c>
      <c r="O98" s="0" t="str">
        <f aca="false">IFERROR(IF(option_sel=0,"",IF(LEN(INDEX(Opt_Overview!$C$7:$M$38,MATCH($A98,Opt_Overview!$A$7:$A$38,0),option_sel))=0,"",INDEX(Opt_Overview!$C$7:$M$38,MATCH($A98,Opt_Overview!$A$7:$A$38,0),option_sel))),"")</f>
        <v/>
      </c>
    </row>
    <row r="99" customFormat="false" ht="15" hidden="false" customHeight="false" outlineLevel="0" collapsed="false">
      <c r="A99" s="0" t="s">
        <v>247</v>
      </c>
      <c r="B99" s="0" t="s">
        <v>227</v>
      </c>
      <c r="C99" s="3" t="n">
        <v>8.1</v>
      </c>
      <c r="D99" s="3" t="n">
        <v>17.9</v>
      </c>
      <c r="E99" s="3" t="n">
        <v>31.9</v>
      </c>
      <c r="F99" s="3" t="n">
        <v>3</v>
      </c>
      <c r="G99" s="3" t="n">
        <v>1</v>
      </c>
      <c r="H99" s="8" t="n">
        <f aca="false">INDEX(C99:E99,1,CHOOSE(scenario,F99,2,G99))</f>
        <v>17.9</v>
      </c>
      <c r="I99" s="7"/>
      <c r="J99" s="2" t="n">
        <f aca="false">IF(I99&lt;&gt;"",I99,IF(O99&lt;&gt;"",O99,H99))</f>
        <v>17.9</v>
      </c>
      <c r="K99" s="8" t="s">
        <v>62</v>
      </c>
      <c r="L99" s="8" t="s">
        <v>228</v>
      </c>
      <c r="M99" s="8" t="s">
        <v>241</v>
      </c>
      <c r="N99" s="8" t="s">
        <v>114</v>
      </c>
      <c r="O99" s="0" t="str">
        <f aca="false">IFERROR(IF(option_sel=0,"",IF(LEN(INDEX(Opt_Overview!$C$7:$M$38,MATCH($A99,Opt_Overview!$A$7:$A$38,0),option_sel))=0,"",INDEX(Opt_Overview!$C$7:$M$38,MATCH($A99,Opt_Overview!$A$7:$A$38,0),option_sel))),"")</f>
        <v/>
      </c>
    </row>
    <row r="100" customFormat="false" ht="15" hidden="false" customHeight="false" outlineLevel="0" collapsed="false">
      <c r="A100" s="0" t="s">
        <v>248</v>
      </c>
      <c r="B100" s="0" t="s">
        <v>227</v>
      </c>
      <c r="C100" s="3" t="n">
        <v>9.6</v>
      </c>
      <c r="D100" s="3" t="n">
        <v>21.5</v>
      </c>
      <c r="E100" s="3" t="n">
        <v>38.5</v>
      </c>
      <c r="F100" s="3" t="n">
        <v>3</v>
      </c>
      <c r="G100" s="3" t="n">
        <v>1</v>
      </c>
      <c r="H100" s="8" t="n">
        <f aca="false">INDEX(C100:E100,1,CHOOSE(scenario,F100,2,G100))</f>
        <v>21.5</v>
      </c>
      <c r="I100" s="7"/>
      <c r="J100" s="2" t="n">
        <f aca="false">IF(I100&lt;&gt;"",I100,IF(O100&lt;&gt;"",O100,H100))</f>
        <v>21.5</v>
      </c>
      <c r="K100" s="8" t="s">
        <v>62</v>
      </c>
      <c r="L100" s="8" t="s">
        <v>228</v>
      </c>
      <c r="M100" s="8" t="s">
        <v>241</v>
      </c>
      <c r="N100" s="8" t="s">
        <v>114</v>
      </c>
      <c r="O100" s="0" t="str">
        <f aca="false">IFERROR(IF(option_sel=0,"",IF(LEN(INDEX(Opt_Overview!$C$7:$M$38,MATCH($A100,Opt_Overview!$A$7:$A$38,0),option_sel))=0,"",INDEX(Opt_Overview!$C$7:$M$38,MATCH($A100,Opt_Overview!$A$7:$A$38,0),option_sel))),"")</f>
        <v/>
      </c>
    </row>
    <row r="101" customFormat="false" ht="15" hidden="false" customHeight="false" outlineLevel="0" collapsed="false">
      <c r="A101" s="0" t="s">
        <v>249</v>
      </c>
      <c r="B101" s="0" t="s">
        <v>227</v>
      </c>
      <c r="C101" s="3" t="n">
        <v>11.4</v>
      </c>
      <c r="D101" s="3" t="n">
        <v>25.6</v>
      </c>
      <c r="E101" s="3" t="n">
        <v>46.4</v>
      </c>
      <c r="F101" s="3" t="n">
        <v>3</v>
      </c>
      <c r="G101" s="3" t="n">
        <v>1</v>
      </c>
      <c r="H101" s="8" t="n">
        <f aca="false">INDEX(C101:E101,1,CHOOSE(scenario,F101,2,G101))</f>
        <v>25.6</v>
      </c>
      <c r="I101" s="7"/>
      <c r="J101" s="2" t="n">
        <f aca="false">IF(I101&lt;&gt;"",I101,IF(O101&lt;&gt;"",O101,H101))</f>
        <v>25.6</v>
      </c>
      <c r="K101" s="8" t="s">
        <v>62</v>
      </c>
      <c r="L101" s="8" t="s">
        <v>228</v>
      </c>
      <c r="M101" s="8" t="s">
        <v>241</v>
      </c>
      <c r="N101" s="8" t="s">
        <v>114</v>
      </c>
      <c r="O101" s="0" t="str">
        <f aca="false">IFERROR(IF(option_sel=0,"",IF(LEN(INDEX(Opt_Overview!$C$7:$M$38,MATCH($A101,Opt_Overview!$A$7:$A$38,0),option_sel))=0,"",INDEX(Opt_Overview!$C$7:$M$38,MATCH($A101,Opt_Overview!$A$7:$A$38,0),option_sel))),"")</f>
        <v/>
      </c>
    </row>
    <row r="102" customFormat="false" ht="15" hidden="false" customHeight="false" outlineLevel="0" collapsed="false">
      <c r="A102" s="0" t="s">
        <v>250</v>
      </c>
      <c r="B102" s="0" t="s">
        <v>227</v>
      </c>
      <c r="C102" s="3" t="n">
        <v>12.1</v>
      </c>
      <c r="D102" s="3" t="n">
        <v>25.6</v>
      </c>
      <c r="E102" s="3" t="n">
        <v>46.4</v>
      </c>
      <c r="F102" s="3" t="n">
        <v>3</v>
      </c>
      <c r="G102" s="3" t="n">
        <v>1</v>
      </c>
      <c r="H102" s="8" t="n">
        <f aca="false">INDEX(C102:E102,1,CHOOSE(scenario,F102,2,G102))</f>
        <v>25.6</v>
      </c>
      <c r="I102" s="7"/>
      <c r="J102" s="2" t="n">
        <f aca="false">IF(I102&lt;&gt;"",I102,IF(O102&lt;&gt;"",O102,H102))</f>
        <v>25.6</v>
      </c>
      <c r="K102" s="8" t="s">
        <v>62</v>
      </c>
      <c r="L102" s="8" t="s">
        <v>228</v>
      </c>
      <c r="M102" s="8" t="s">
        <v>241</v>
      </c>
      <c r="N102" s="8" t="s">
        <v>114</v>
      </c>
      <c r="O102" s="0" t="str">
        <f aca="false">IFERROR(IF(option_sel=0,"",IF(LEN(INDEX(Opt_Overview!$C$7:$M$38,MATCH($A102,Opt_Overview!$A$7:$A$38,0),option_sel))=0,"",INDEX(Opt_Overview!$C$7:$M$38,MATCH($A102,Opt_Overview!$A$7:$A$38,0),option_sel))),"")</f>
        <v/>
      </c>
    </row>
    <row r="103" customFormat="false" ht="15" hidden="false" customHeight="false" outlineLevel="0" collapsed="false">
      <c r="A103" s="0" t="s">
        <v>251</v>
      </c>
      <c r="B103" s="0" t="s">
        <v>227</v>
      </c>
      <c r="C103" s="3" t="n">
        <v>12.7</v>
      </c>
      <c r="D103" s="3" t="n">
        <v>25.6</v>
      </c>
      <c r="E103" s="3" t="n">
        <v>46.4</v>
      </c>
      <c r="F103" s="3" t="n">
        <v>3</v>
      </c>
      <c r="G103" s="3" t="n">
        <v>1</v>
      </c>
      <c r="H103" s="8" t="n">
        <f aca="false">INDEX(C103:E103,1,CHOOSE(scenario,F103,2,G103))</f>
        <v>25.6</v>
      </c>
      <c r="I103" s="7"/>
      <c r="J103" s="2" t="n">
        <f aca="false">IF(I103&lt;&gt;"",I103,IF(O103&lt;&gt;"",O103,H103))</f>
        <v>25.6</v>
      </c>
      <c r="K103" s="8" t="s">
        <v>62</v>
      </c>
      <c r="L103" s="8" t="s">
        <v>228</v>
      </c>
      <c r="M103" s="8" t="s">
        <v>241</v>
      </c>
      <c r="N103" s="8" t="s">
        <v>114</v>
      </c>
      <c r="O103" s="0" t="str">
        <f aca="false">IFERROR(IF(option_sel=0,"",IF(LEN(INDEX(Opt_Overview!$C$7:$M$38,MATCH($A103,Opt_Overview!$A$7:$A$38,0),option_sel))=0,"",INDEX(Opt_Overview!$C$7:$M$38,MATCH($A103,Opt_Overview!$A$7:$A$38,0),option_sel))),"")</f>
        <v/>
      </c>
    </row>
    <row r="104" customFormat="false" ht="15" hidden="false" customHeight="false" outlineLevel="0" collapsed="false">
      <c r="A104" s="0" t="s">
        <v>252</v>
      </c>
      <c r="B104" s="0" t="s">
        <v>197</v>
      </c>
      <c r="C104" s="3" t="n">
        <v>25</v>
      </c>
      <c r="D104" s="3" t="n">
        <v>32</v>
      </c>
      <c r="E104" s="3" t="n">
        <v>40</v>
      </c>
      <c r="F104" s="3" t="n">
        <v>3</v>
      </c>
      <c r="G104" s="3" t="n">
        <v>1</v>
      </c>
      <c r="H104" s="8" t="n">
        <f aca="false">INDEX(C104:E104,1,CHOOSE(scenario,F104,2,G104))</f>
        <v>32</v>
      </c>
      <c r="I104" s="7"/>
      <c r="J104" s="2" t="n">
        <f aca="false">IF(I104&lt;&gt;"",I104,IF(O104&lt;&gt;"",O104,H104))</f>
        <v>32</v>
      </c>
      <c r="K104" s="8" t="s">
        <v>53</v>
      </c>
      <c r="L104" s="8" t="s">
        <v>253</v>
      </c>
      <c r="M104" s="8" t="s">
        <v>254</v>
      </c>
      <c r="N104" s="8" t="s">
        <v>114</v>
      </c>
      <c r="O104" s="0" t="str">
        <f aca="false">IFERROR(IF(option_sel=0,"",IF(LEN(INDEX(Opt_Overview!$C$7:$M$38,MATCH($A104,Opt_Overview!$A$7:$A$38,0),option_sel))=0,"",INDEX(Opt_Overview!$C$7:$M$38,MATCH($A104,Opt_Overview!$A$7:$A$38,0),option_sel))),"")</f>
        <v/>
      </c>
    </row>
    <row r="105" customFormat="false" ht="15" hidden="false" customHeight="false" outlineLevel="0" collapsed="false">
      <c r="A105" s="0" t="s">
        <v>255</v>
      </c>
      <c r="B105" s="0" t="s">
        <v>197</v>
      </c>
      <c r="C105" s="3" t="n">
        <v>14</v>
      </c>
      <c r="D105" s="3" t="n">
        <v>19</v>
      </c>
      <c r="E105" s="3" t="n">
        <v>25</v>
      </c>
      <c r="F105" s="3" t="n">
        <v>3</v>
      </c>
      <c r="G105" s="3" t="n">
        <v>1</v>
      </c>
      <c r="H105" s="8" t="n">
        <f aca="false">INDEX(C105:E105,1,CHOOSE(scenario,F105,2,G105))</f>
        <v>19</v>
      </c>
      <c r="I105" s="7"/>
      <c r="J105" s="2" t="n">
        <f aca="false">IF(I105&lt;&gt;"",I105,IF(O105&lt;&gt;"",O105,H105))</f>
        <v>19</v>
      </c>
      <c r="K105" s="8" t="s">
        <v>53</v>
      </c>
      <c r="L105" s="8" t="s">
        <v>256</v>
      </c>
      <c r="M105" s="8" t="s">
        <v>257</v>
      </c>
      <c r="N105" s="8" t="s">
        <v>114</v>
      </c>
      <c r="O105" s="0" t="str">
        <f aca="false">IFERROR(IF(option_sel=0,"",IF(LEN(INDEX(Opt_Overview!$C$7:$M$38,MATCH($A105,Opt_Overview!$A$7:$A$38,0),option_sel))=0,"",INDEX(Opt_Overview!$C$7:$M$38,MATCH($A105,Opt_Overview!$A$7:$A$38,0),option_sel))),"")</f>
        <v/>
      </c>
    </row>
    <row r="106" customFormat="false" ht="15" hidden="false" customHeight="false" outlineLevel="0" collapsed="false">
      <c r="A106" s="0" t="s">
        <v>258</v>
      </c>
      <c r="B106" s="0" t="s">
        <v>197</v>
      </c>
      <c r="C106" s="3" t="n">
        <v>10</v>
      </c>
      <c r="D106" s="3" t="n">
        <v>15</v>
      </c>
      <c r="E106" s="3" t="n">
        <v>25</v>
      </c>
      <c r="F106" s="3" t="n">
        <v>3</v>
      </c>
      <c r="G106" s="3" t="n">
        <v>1</v>
      </c>
      <c r="H106" s="8" t="n">
        <f aca="false">INDEX(C106:E106,1,CHOOSE(scenario,F106,2,G106))</f>
        <v>15</v>
      </c>
      <c r="I106" s="7"/>
      <c r="J106" s="2" t="n">
        <f aca="false">IF(I106&lt;&gt;"",I106,IF(O106&lt;&gt;"",O106,H106))</f>
        <v>15</v>
      </c>
      <c r="K106" s="8" t="s">
        <v>53</v>
      </c>
      <c r="L106" s="8" t="s">
        <v>259</v>
      </c>
      <c r="M106" s="8" t="s">
        <v>260</v>
      </c>
      <c r="N106" s="8" t="s">
        <v>114</v>
      </c>
      <c r="O106" s="0" t="str">
        <f aca="false">IFERROR(IF(option_sel=0,"",IF(LEN(INDEX(Opt_Overview!$C$7:$M$38,MATCH($A106,Opt_Overview!$A$7:$A$38,0),option_sel))=0,"",INDEX(Opt_Overview!$C$7:$M$38,MATCH($A106,Opt_Overview!$A$7:$A$38,0),option_sel))),"")</f>
        <v/>
      </c>
    </row>
    <row r="107" customFormat="false" ht="15" hidden="false" customHeight="false" outlineLevel="0" collapsed="false">
      <c r="A107" s="0" t="s">
        <v>261</v>
      </c>
      <c r="B107" s="0" t="s">
        <v>262</v>
      </c>
      <c r="C107" s="3" t="n">
        <v>15</v>
      </c>
      <c r="D107" s="3" t="n">
        <v>30</v>
      </c>
      <c r="E107" s="3" t="n">
        <v>50</v>
      </c>
      <c r="F107" s="3" t="n">
        <v>3</v>
      </c>
      <c r="G107" s="3" t="n">
        <v>1</v>
      </c>
      <c r="H107" s="8" t="n">
        <f aca="false">INDEX(C107:E107,1,CHOOSE(scenario,F107,2,G107))</f>
        <v>30</v>
      </c>
      <c r="I107" s="7"/>
      <c r="J107" s="2" t="n">
        <f aca="false">IF(I107&lt;&gt;"",I107,IF(O107&lt;&gt;"",O107,H107))</f>
        <v>30</v>
      </c>
      <c r="K107" s="8" t="s">
        <v>53</v>
      </c>
      <c r="L107" s="8" t="s">
        <v>263</v>
      </c>
      <c r="M107" s="8" t="s">
        <v>264</v>
      </c>
      <c r="N107" s="8" t="s">
        <v>114</v>
      </c>
      <c r="O107" s="0" t="str">
        <f aca="false">IFERROR(IF(option_sel=0,"",IF(LEN(INDEX(Opt_Overview!$C$7:$M$38,MATCH($A107,Opt_Overview!$A$7:$A$38,0),option_sel))=0,"",INDEX(Opt_Overview!$C$7:$M$38,MATCH($A107,Opt_Overview!$A$7:$A$38,0),option_sel))),"")</f>
        <v/>
      </c>
    </row>
    <row r="108" customFormat="false" ht="15" hidden="false" customHeight="false" outlineLevel="0" collapsed="false">
      <c r="A108" s="0" t="s">
        <v>265</v>
      </c>
      <c r="B108" s="0" t="s">
        <v>266</v>
      </c>
      <c r="C108" s="3" t="n">
        <v>0.18</v>
      </c>
      <c r="D108" s="3" t="n">
        <v>0.25</v>
      </c>
      <c r="E108" s="3" t="n">
        <v>0.35</v>
      </c>
      <c r="F108" s="3" t="n">
        <v>3</v>
      </c>
      <c r="G108" s="3" t="n">
        <v>1</v>
      </c>
      <c r="H108" s="8" t="n">
        <f aca="false">INDEX(C108:E108,1,CHOOSE(scenario,F108,2,G108))</f>
        <v>0.25</v>
      </c>
      <c r="I108" s="7"/>
      <c r="J108" s="2" t="n">
        <f aca="false">IF(I108&lt;&gt;"",I108,IF(O108&lt;&gt;"",O108,H108))</f>
        <v>0.25</v>
      </c>
      <c r="K108" s="8" t="s">
        <v>62</v>
      </c>
      <c r="L108" s="8" t="s">
        <v>267</v>
      </c>
      <c r="M108" s="8" t="s">
        <v>268</v>
      </c>
      <c r="N108" s="8" t="s">
        <v>114</v>
      </c>
      <c r="O108" s="0" t="str">
        <f aca="false">IFERROR(IF(option_sel=0,"",IF(LEN(INDEX(Opt_Overview!$C$7:$M$38,MATCH($A108,Opt_Overview!$A$7:$A$38,0),option_sel))=0,"",INDEX(Opt_Overview!$C$7:$M$38,MATCH($A108,Opt_Overview!$A$7:$A$38,0),option_sel))),"")</f>
        <v/>
      </c>
    </row>
    <row r="109" customFormat="false" ht="15" hidden="false" customHeight="false" outlineLevel="0" collapsed="false">
      <c r="A109" s="0" t="s">
        <v>269</v>
      </c>
      <c r="B109" s="0" t="s">
        <v>197</v>
      </c>
      <c r="C109" s="3" t="n">
        <v>1.5</v>
      </c>
      <c r="D109" s="3" t="n">
        <v>2</v>
      </c>
      <c r="E109" s="3" t="n">
        <v>3</v>
      </c>
      <c r="F109" s="3" t="n">
        <v>3</v>
      </c>
      <c r="G109" s="3" t="n">
        <v>1</v>
      </c>
      <c r="H109" s="8" t="n">
        <f aca="false">INDEX(C109:E109,1,CHOOSE(scenario,F109,2,G109))</f>
        <v>2</v>
      </c>
      <c r="I109" s="7"/>
      <c r="J109" s="2" t="n">
        <f aca="false">IF(I109&lt;&gt;"",I109,IF(O109&lt;&gt;"",O109,H109))</f>
        <v>2</v>
      </c>
      <c r="K109" s="8" t="s">
        <v>62</v>
      </c>
      <c r="L109" s="8" t="s">
        <v>270</v>
      </c>
      <c r="N109" s="8" t="s">
        <v>114</v>
      </c>
      <c r="O109" s="0" t="str">
        <f aca="false">IFERROR(IF(option_sel=0,"",IF(LEN(INDEX(Opt_Overview!$C$7:$M$38,MATCH($A109,Opt_Overview!$A$7:$A$38,0),option_sel))=0,"",INDEX(Opt_Overview!$C$7:$M$38,MATCH($A109,Opt_Overview!$A$7:$A$38,0),option_sel))),"")</f>
        <v/>
      </c>
    </row>
    <row r="110" customFormat="false" ht="15" hidden="false" customHeight="false" outlineLevel="0" collapsed="false">
      <c r="A110" s="0" t="s">
        <v>271</v>
      </c>
      <c r="B110" s="0" t="s">
        <v>197</v>
      </c>
      <c r="C110" s="3" t="n">
        <v>14.2</v>
      </c>
      <c r="D110" s="3" t="n">
        <v>24.5</v>
      </c>
      <c r="E110" s="3" t="n">
        <v>45.5</v>
      </c>
      <c r="F110" s="3" t="n">
        <v>2</v>
      </c>
      <c r="G110" s="3" t="n">
        <v>2</v>
      </c>
      <c r="H110" s="8" t="n">
        <f aca="false">INDEX(C110:E110,1,CHOOSE(scenario,F110,2,G110))</f>
        <v>24.5</v>
      </c>
      <c r="I110" s="7"/>
      <c r="J110" s="2" t="n">
        <f aca="false">IF(I110&lt;&gt;"",I110,IF(O110&lt;&gt;"",O110,H110))</f>
        <v>24.5</v>
      </c>
      <c r="K110" s="8" t="s">
        <v>62</v>
      </c>
      <c r="L110" s="8" t="s">
        <v>272</v>
      </c>
      <c r="M110" s="8" t="s">
        <v>273</v>
      </c>
      <c r="N110" s="8" t="s">
        <v>56</v>
      </c>
      <c r="O110" s="0" t="str">
        <f aca="false">IFERROR(IF(option_sel=0,"",IF(LEN(INDEX(Opt_Overview!$C$7:$M$38,MATCH($A110,Opt_Overview!$A$7:$A$38,0),option_sel))=0,"",INDEX(Opt_Overview!$C$7:$M$38,MATCH($A110,Opt_Overview!$A$7:$A$38,0),option_sel))),"")</f>
        <v/>
      </c>
    </row>
    <row r="111" customFormat="false" ht="15" hidden="false" customHeight="false" outlineLevel="0" collapsed="false">
      <c r="A111" s="0" t="s">
        <v>274</v>
      </c>
      <c r="B111" s="0" t="s">
        <v>266</v>
      </c>
      <c r="C111" s="3" t="n">
        <v>0.015</v>
      </c>
      <c r="D111" s="3" t="n">
        <v>0.03</v>
      </c>
      <c r="E111" s="3" t="n">
        <v>0.05</v>
      </c>
      <c r="F111" s="3" t="n">
        <v>2</v>
      </c>
      <c r="G111" s="3" t="n">
        <v>2</v>
      </c>
      <c r="H111" s="8" t="n">
        <f aca="false">INDEX(C111:E111,1,CHOOSE(scenario,F111,2,G111))</f>
        <v>0.03</v>
      </c>
      <c r="I111" s="7"/>
      <c r="J111" s="2" t="n">
        <f aca="false">IF(I111&lt;&gt;"",I111,IF(O111&lt;&gt;"",O111,H111))</f>
        <v>0.03</v>
      </c>
      <c r="K111" s="8" t="s">
        <v>62</v>
      </c>
      <c r="L111" s="8" t="s">
        <v>275</v>
      </c>
      <c r="M111" s="8" t="s">
        <v>276</v>
      </c>
      <c r="N111" s="8" t="s">
        <v>56</v>
      </c>
      <c r="O111" s="0" t="str">
        <f aca="false">IFERROR(IF(option_sel=0,"",IF(LEN(INDEX(Opt_Overview!$C$7:$M$38,MATCH($A111,Opt_Overview!$A$7:$A$38,0),option_sel))=0,"",INDEX(Opt_Overview!$C$7:$M$38,MATCH($A111,Opt_Overview!$A$7:$A$38,0),option_sel))),"")</f>
        <v/>
      </c>
    </row>
    <row r="112" customFormat="false" ht="15" hidden="false" customHeight="false" outlineLevel="0" collapsed="false">
      <c r="A112" s="0" t="s">
        <v>277</v>
      </c>
      <c r="B112" s="0" t="s">
        <v>197</v>
      </c>
      <c r="C112" s="3" t="n">
        <v>1.5</v>
      </c>
      <c r="D112" s="3" t="n">
        <v>2.5</v>
      </c>
      <c r="E112" s="3" t="n">
        <v>4</v>
      </c>
      <c r="F112" s="3" t="n">
        <v>2</v>
      </c>
      <c r="G112" s="3" t="n">
        <v>2</v>
      </c>
      <c r="H112" s="8" t="n">
        <f aca="false">INDEX(C112:E112,1,CHOOSE(scenario,F112,2,G112))</f>
        <v>2.5</v>
      </c>
      <c r="I112" s="7"/>
      <c r="J112" s="2" t="n">
        <f aca="false">IF(I112&lt;&gt;"",I112,IF(O112&lt;&gt;"",O112,H112))</f>
        <v>2.5</v>
      </c>
      <c r="K112" s="8" t="s">
        <v>62</v>
      </c>
      <c r="L112" s="8" t="s">
        <v>278</v>
      </c>
      <c r="N112" s="8" t="s">
        <v>56</v>
      </c>
      <c r="O112" s="0" t="str">
        <f aca="false">IFERROR(IF(option_sel=0,"",IF(LEN(INDEX(Opt_Overview!$C$7:$M$38,MATCH($A112,Opt_Overview!$A$7:$A$38,0),option_sel))=0,"",INDEX(Opt_Overview!$C$7:$M$38,MATCH($A112,Opt_Overview!$A$7:$A$38,0),option_sel))),"")</f>
        <v/>
      </c>
    </row>
    <row r="113" customFormat="false" ht="15" hidden="false" customHeight="false" outlineLevel="0" collapsed="false">
      <c r="A113" s="0" t="s">
        <v>279</v>
      </c>
      <c r="B113" s="0" t="s">
        <v>197</v>
      </c>
      <c r="C113" s="3" t="n">
        <v>3</v>
      </c>
      <c r="D113" s="3" t="n">
        <v>8</v>
      </c>
      <c r="E113" s="3" t="n">
        <v>15</v>
      </c>
      <c r="F113" s="3" t="n">
        <v>3</v>
      </c>
      <c r="G113" s="3" t="n">
        <v>1</v>
      </c>
      <c r="H113" s="8" t="n">
        <f aca="false">INDEX(C113:E113,1,CHOOSE(scenario,F113,2,G113))</f>
        <v>8</v>
      </c>
      <c r="I113" s="7"/>
      <c r="J113" s="2" t="n">
        <f aca="false">IF(I113&lt;&gt;"",I113,IF(O113&lt;&gt;"",O113,H113))</f>
        <v>8</v>
      </c>
      <c r="K113" s="8" t="s">
        <v>53</v>
      </c>
      <c r="L113" s="8" t="s">
        <v>280</v>
      </c>
      <c r="M113" s="8" t="s">
        <v>281</v>
      </c>
      <c r="N113" s="8" t="s">
        <v>114</v>
      </c>
      <c r="O113" s="0" t="str">
        <f aca="false">IFERROR(IF(option_sel=0,"",IF(LEN(INDEX(Opt_Overview!$C$7:$M$38,MATCH($A113,Opt_Overview!$A$7:$A$38,0),option_sel))=0,"",INDEX(Opt_Overview!$C$7:$M$38,MATCH($A113,Opt_Overview!$A$7:$A$38,0),option_sel))),"")</f>
        <v/>
      </c>
    </row>
    <row r="114" customFormat="false" ht="15" hidden="false" customHeight="false" outlineLevel="0" collapsed="false">
      <c r="A114" s="0" t="s">
        <v>282</v>
      </c>
      <c r="B114" s="0" t="s">
        <v>283</v>
      </c>
      <c r="C114" s="3" t="n">
        <v>1</v>
      </c>
      <c r="D114" s="3" t="n">
        <v>1.4</v>
      </c>
      <c r="E114" s="3" t="n">
        <v>2</v>
      </c>
      <c r="F114" s="3" t="n">
        <v>3</v>
      </c>
      <c r="G114" s="3" t="n">
        <v>1</v>
      </c>
      <c r="H114" s="8" t="n">
        <f aca="false">INDEX(C114:E114,1,CHOOSE(scenario,F114,2,G114))</f>
        <v>1.4</v>
      </c>
      <c r="I114" s="7"/>
      <c r="J114" s="2" t="n">
        <f aca="false">IF(I114&lt;&gt;"",I114,IF(O114&lt;&gt;"",O114,H114))</f>
        <v>1.4</v>
      </c>
      <c r="K114" s="8" t="s">
        <v>53</v>
      </c>
      <c r="L114" s="8" t="s">
        <v>284</v>
      </c>
      <c r="M114" s="8" t="s">
        <v>285</v>
      </c>
      <c r="N114" s="8" t="s">
        <v>114</v>
      </c>
      <c r="O114" s="0" t="str">
        <f aca="false">IFERROR(IF(option_sel=0,"",IF(LEN(INDEX(Opt_Overview!$C$7:$M$38,MATCH($A114,Opt_Overview!$A$7:$A$38,0),option_sel))=0,"",INDEX(Opt_Overview!$C$7:$M$38,MATCH($A114,Opt_Overview!$A$7:$A$38,0),option_sel))),"")</f>
        <v/>
      </c>
    </row>
    <row r="115" customFormat="false" ht="15" hidden="false" customHeight="false" outlineLevel="0" collapsed="false">
      <c r="A115" s="0" t="s">
        <v>286</v>
      </c>
      <c r="B115" s="0" t="s">
        <v>287</v>
      </c>
      <c r="C115" s="3" t="n">
        <v>0.8</v>
      </c>
      <c r="D115" s="3" t="n">
        <v>1.2</v>
      </c>
      <c r="E115" s="3" t="n">
        <v>2</v>
      </c>
      <c r="F115" s="3" t="n">
        <v>3</v>
      </c>
      <c r="G115" s="3" t="n">
        <v>1</v>
      </c>
      <c r="H115" s="8" t="n">
        <f aca="false">INDEX(C115:E115,1,CHOOSE(scenario,F115,2,G115))</f>
        <v>1.2</v>
      </c>
      <c r="I115" s="7"/>
      <c r="J115" s="2" t="n">
        <f aca="false">IF(I115&lt;&gt;"",I115,IF(O115&lt;&gt;"",O115,H115))</f>
        <v>1.2</v>
      </c>
      <c r="K115" s="8" t="s">
        <v>53</v>
      </c>
      <c r="L115" s="8" t="s">
        <v>288</v>
      </c>
      <c r="M115" s="8" t="s">
        <v>289</v>
      </c>
      <c r="N115" s="8" t="s">
        <v>114</v>
      </c>
      <c r="O115" s="0" t="str">
        <f aca="false">IFERROR(IF(option_sel=0,"",IF(LEN(INDEX(Opt_Overview!$C$7:$M$38,MATCH($A115,Opt_Overview!$A$7:$A$38,0),option_sel))=0,"",INDEX(Opt_Overview!$C$7:$M$38,MATCH($A115,Opt_Overview!$A$7:$A$38,0),option_sel))),"")</f>
        <v/>
      </c>
    </row>
    <row r="116" customFormat="false" ht="15" hidden="false" customHeight="false" outlineLevel="0" collapsed="false">
      <c r="A116" s="0" t="s">
        <v>290</v>
      </c>
      <c r="B116" s="0" t="s">
        <v>291</v>
      </c>
      <c r="C116" s="3" t="n">
        <v>0.5</v>
      </c>
      <c r="D116" s="3" t="n">
        <v>0.8</v>
      </c>
      <c r="E116" s="3" t="n">
        <v>1.5</v>
      </c>
      <c r="F116" s="3" t="n">
        <v>3</v>
      </c>
      <c r="G116" s="3" t="n">
        <v>1</v>
      </c>
      <c r="H116" s="8" t="n">
        <f aca="false">INDEX(C116:E116,1,CHOOSE(scenario,F116,2,G116))</f>
        <v>0.8</v>
      </c>
      <c r="I116" s="7"/>
      <c r="J116" s="2" t="n">
        <f aca="false">IF(I116&lt;&gt;"",I116,IF(O116&lt;&gt;"",O116,H116))</f>
        <v>0.8</v>
      </c>
      <c r="K116" s="8" t="s">
        <v>53</v>
      </c>
      <c r="L116" s="8" t="s">
        <v>292</v>
      </c>
      <c r="M116" s="8" t="s">
        <v>293</v>
      </c>
      <c r="N116" s="8" t="s">
        <v>114</v>
      </c>
      <c r="O116" s="0" t="str">
        <f aca="false">IFERROR(IF(option_sel=0,"",IF(LEN(INDEX(Opt_Overview!$C$7:$M$38,MATCH($A116,Opt_Overview!$A$7:$A$38,0),option_sel))=0,"",INDEX(Opt_Overview!$C$7:$M$38,MATCH($A116,Opt_Overview!$A$7:$A$38,0),option_sel))),"")</f>
        <v/>
      </c>
    </row>
    <row r="117" customFormat="false" ht="15" hidden="false" customHeight="false" outlineLevel="0" collapsed="false">
      <c r="A117" s="0" t="s">
        <v>294</v>
      </c>
      <c r="B117" s="0" t="s">
        <v>291</v>
      </c>
      <c r="C117" s="3" t="n">
        <v>0.5</v>
      </c>
      <c r="D117" s="3" t="n">
        <v>1</v>
      </c>
      <c r="E117" s="3" t="n">
        <v>2</v>
      </c>
      <c r="F117" s="3" t="n">
        <v>3</v>
      </c>
      <c r="G117" s="3" t="n">
        <v>1</v>
      </c>
      <c r="H117" s="8" t="n">
        <f aca="false">INDEX(C117:E117,1,CHOOSE(scenario,F117,2,G117))</f>
        <v>1</v>
      </c>
      <c r="I117" s="7"/>
      <c r="J117" s="2" t="n">
        <f aca="false">IF(I117&lt;&gt;"",I117,IF(O117&lt;&gt;"",O117,H117))</f>
        <v>1</v>
      </c>
      <c r="K117" s="8" t="s">
        <v>53</v>
      </c>
      <c r="L117" s="8" t="s">
        <v>295</v>
      </c>
      <c r="M117" s="8" t="s">
        <v>296</v>
      </c>
      <c r="N117" s="8" t="s">
        <v>114</v>
      </c>
      <c r="O117" s="0" t="str">
        <f aca="false">IFERROR(IF(option_sel=0,"",IF(LEN(INDEX(Opt_Overview!$C$7:$M$38,MATCH($A117,Opt_Overview!$A$7:$A$38,0),option_sel))=0,"",INDEX(Opt_Overview!$C$7:$M$38,MATCH($A117,Opt_Overview!$A$7:$A$38,0),option_sel))),"")</f>
        <v/>
      </c>
    </row>
    <row r="118" customFormat="false" ht="15" hidden="false" customHeight="false" outlineLevel="0" collapsed="false">
      <c r="A118" s="0" t="s">
        <v>297</v>
      </c>
      <c r="B118" s="0" t="s">
        <v>298</v>
      </c>
      <c r="C118" s="3" t="n">
        <v>3.5</v>
      </c>
      <c r="D118" s="3" t="n">
        <v>3.6</v>
      </c>
      <c r="E118" s="3" t="n">
        <v>4.5</v>
      </c>
      <c r="F118" s="3" t="n">
        <v>3</v>
      </c>
      <c r="G118" s="3" t="n">
        <v>1</v>
      </c>
      <c r="H118" s="8" t="n">
        <f aca="false">INDEX(C118:E118,1,CHOOSE(scenario,F118,2,G118))</f>
        <v>3.6</v>
      </c>
      <c r="I118" s="7"/>
      <c r="J118" s="2" t="n">
        <f aca="false">IF(I118&lt;&gt;"",I118,IF(O118&lt;&gt;"",O118,H118))</f>
        <v>3.6</v>
      </c>
      <c r="K118" s="8" t="s">
        <v>172</v>
      </c>
      <c r="L118" s="8" t="s">
        <v>299</v>
      </c>
      <c r="M118" s="8" t="s">
        <v>300</v>
      </c>
      <c r="N118" s="8" t="s">
        <v>114</v>
      </c>
      <c r="O118" s="0" t="str">
        <f aca="false">IFERROR(IF(option_sel=0,"",IF(LEN(INDEX(Opt_Overview!$C$7:$M$38,MATCH($A118,Opt_Overview!$A$7:$A$38,0),option_sel))=0,"",INDEX(Opt_Overview!$C$7:$M$38,MATCH($A118,Opt_Overview!$A$7:$A$38,0),option_sel))),"")</f>
        <v/>
      </c>
    </row>
    <row r="119" customFormat="false" ht="15" hidden="false" customHeight="false" outlineLevel="0" collapsed="false">
      <c r="A119" s="0" t="s">
        <v>301</v>
      </c>
      <c r="B119" s="0" t="s">
        <v>302</v>
      </c>
      <c r="C119" s="3" t="n">
        <v>0.16</v>
      </c>
      <c r="D119" s="3" t="n">
        <v>0.2</v>
      </c>
      <c r="E119" s="3" t="n">
        <v>0.26</v>
      </c>
      <c r="F119" s="3" t="n">
        <v>3</v>
      </c>
      <c r="G119" s="3" t="n">
        <v>1</v>
      </c>
      <c r="H119" s="8" t="n">
        <f aca="false">INDEX(C119:E119,1,CHOOSE(scenario,F119,2,G119))</f>
        <v>0.2</v>
      </c>
      <c r="I119" s="7"/>
      <c r="J119" s="2" t="n">
        <f aca="false">IF(I119&lt;&gt;"",I119,IF(O119&lt;&gt;"",O119,H119))</f>
        <v>0.2</v>
      </c>
      <c r="K119" s="8" t="s">
        <v>62</v>
      </c>
      <c r="L119" s="8" t="s">
        <v>303</v>
      </c>
      <c r="M119" s="8" t="s">
        <v>304</v>
      </c>
      <c r="N119" s="8" t="s">
        <v>114</v>
      </c>
      <c r="O119" s="0" t="str">
        <f aca="false">IFERROR(IF(option_sel=0,"",IF(LEN(INDEX(Opt_Overview!$C$7:$M$38,MATCH($A119,Opt_Overview!$A$7:$A$38,0),option_sel))=0,"",INDEX(Opt_Overview!$C$7:$M$38,MATCH($A119,Opt_Overview!$A$7:$A$38,0),option_sel))),"")</f>
        <v/>
      </c>
    </row>
    <row r="120" customFormat="false" ht="15" hidden="false" customHeight="false" outlineLevel="0" collapsed="false">
      <c r="A120" s="0" t="s">
        <v>305</v>
      </c>
      <c r="B120" s="0" t="s">
        <v>164</v>
      </c>
      <c r="C120" s="3" t="n">
        <v>0.1</v>
      </c>
      <c r="D120" s="3" t="n">
        <v>0.12</v>
      </c>
      <c r="E120" s="3" t="n">
        <v>0.25</v>
      </c>
      <c r="F120" s="3" t="n">
        <v>3</v>
      </c>
      <c r="G120" s="3" t="n">
        <v>1</v>
      </c>
      <c r="H120" s="8" t="n">
        <f aca="false">INDEX(C120:E120,1,CHOOSE(scenario,F120,2,G120))</f>
        <v>0.12</v>
      </c>
      <c r="I120" s="7"/>
      <c r="J120" s="2" t="n">
        <f aca="false">IF(I120&lt;&gt;"",I120,IF(O120&lt;&gt;"",O120,H120))</f>
        <v>0.12</v>
      </c>
      <c r="K120" s="8" t="s">
        <v>172</v>
      </c>
      <c r="L120" s="8" t="s">
        <v>306</v>
      </c>
      <c r="M120" s="8" t="s">
        <v>307</v>
      </c>
      <c r="N120" s="8" t="s">
        <v>114</v>
      </c>
      <c r="O120" s="0" t="str">
        <f aca="false">IFERROR(IF(option_sel=0,"",IF(LEN(INDEX(Opt_Overview!$C$7:$M$38,MATCH($A120,Opt_Overview!$A$7:$A$38,0),option_sel))=0,"",INDEX(Opt_Overview!$C$7:$M$38,MATCH($A120,Opt_Overview!$A$7:$A$38,0),option_sel))),"")</f>
        <v/>
      </c>
    </row>
    <row r="121" customFormat="false" ht="15" hidden="false" customHeight="false" outlineLevel="0" collapsed="false">
      <c r="A121" s="0" t="s">
        <v>308</v>
      </c>
      <c r="B121" s="0" t="s">
        <v>309</v>
      </c>
      <c r="C121" s="3" t="n">
        <v>1.3</v>
      </c>
      <c r="D121" s="3" t="n">
        <v>1.55</v>
      </c>
      <c r="E121" s="3" t="n">
        <v>1.8</v>
      </c>
      <c r="F121" s="3" t="n">
        <v>3</v>
      </c>
      <c r="G121" s="3" t="n">
        <v>1</v>
      </c>
      <c r="H121" s="8" t="n">
        <f aca="false">INDEX(C121:E121,1,CHOOSE(scenario,F121,2,G121))</f>
        <v>1.55</v>
      </c>
      <c r="I121" s="7"/>
      <c r="J121" s="2" t="n">
        <f aca="false">IF(I121&lt;&gt;"",I121,IF(O121&lt;&gt;"",O121,H121))</f>
        <v>1.55</v>
      </c>
      <c r="K121" s="8" t="s">
        <v>53</v>
      </c>
      <c r="L121" s="8" t="s">
        <v>310</v>
      </c>
      <c r="M121" s="8" t="s">
        <v>311</v>
      </c>
      <c r="N121" s="8" t="s">
        <v>114</v>
      </c>
      <c r="O121" s="0" t="str">
        <f aca="false">IFERROR(IF(option_sel=0,"",IF(LEN(INDEX(Opt_Overview!$C$7:$M$38,MATCH($A121,Opt_Overview!$A$7:$A$38,0),option_sel))=0,"",INDEX(Opt_Overview!$C$7:$M$38,MATCH($A121,Opt_Overview!$A$7:$A$38,0),option_sel))),"")</f>
        <v/>
      </c>
    </row>
    <row r="122" customFormat="false" ht="15" hidden="false" customHeight="false" outlineLevel="0" collapsed="false">
      <c r="A122" s="0" t="s">
        <v>312</v>
      </c>
      <c r="B122" s="0" t="s">
        <v>313</v>
      </c>
      <c r="C122" s="3" t="n">
        <v>6</v>
      </c>
      <c r="D122" s="3" t="n">
        <v>7</v>
      </c>
      <c r="E122" s="3" t="n">
        <v>9</v>
      </c>
      <c r="F122" s="3" t="n">
        <v>3</v>
      </c>
      <c r="G122" s="3" t="n">
        <v>1</v>
      </c>
      <c r="H122" s="8" t="n">
        <f aca="false">INDEX(C122:E122,1,CHOOSE(scenario,F122,2,G122))</f>
        <v>7</v>
      </c>
      <c r="I122" s="7"/>
      <c r="J122" s="2" t="n">
        <f aca="false">IF(I122&lt;&gt;"",I122,IF(O122&lt;&gt;"",O122,H122))</f>
        <v>7</v>
      </c>
      <c r="K122" s="8" t="s">
        <v>53</v>
      </c>
      <c r="L122" s="8" t="s">
        <v>314</v>
      </c>
      <c r="M122" s="8" t="s">
        <v>315</v>
      </c>
      <c r="N122" s="8" t="s">
        <v>114</v>
      </c>
      <c r="O122" s="0" t="str">
        <f aca="false">IFERROR(IF(option_sel=0,"",IF(LEN(INDEX(Opt_Overview!$C$7:$M$38,MATCH($A122,Opt_Overview!$A$7:$A$38,0),option_sel))=0,"",INDEX(Opt_Overview!$C$7:$M$38,MATCH($A122,Opt_Overview!$A$7:$A$38,0),option_sel))),"")</f>
        <v/>
      </c>
    </row>
    <row r="123" customFormat="false" ht="15" hidden="false" customHeight="false" outlineLevel="0" collapsed="false">
      <c r="A123" s="0" t="s">
        <v>316</v>
      </c>
      <c r="B123" s="0" t="s">
        <v>317</v>
      </c>
      <c r="C123" s="3" t="n">
        <v>62000</v>
      </c>
      <c r="D123" s="3" t="n">
        <v>70000</v>
      </c>
      <c r="E123" s="3" t="n">
        <v>78000</v>
      </c>
      <c r="F123" s="3" t="n">
        <v>3</v>
      </c>
      <c r="G123" s="3" t="n">
        <v>1</v>
      </c>
      <c r="H123" s="8" t="n">
        <f aca="false">INDEX(C123:E123,1,CHOOSE(scenario,F123,2,G123))</f>
        <v>70000</v>
      </c>
      <c r="I123" s="7"/>
      <c r="J123" s="2" t="n">
        <f aca="false">IF(I123&lt;&gt;"",I123,IF(O123&lt;&gt;"",O123,H123))</f>
        <v>70000</v>
      </c>
      <c r="K123" s="8" t="s">
        <v>62</v>
      </c>
      <c r="L123" s="8" t="s">
        <v>318</v>
      </c>
      <c r="M123" s="8" t="s">
        <v>319</v>
      </c>
      <c r="N123" s="8" t="s">
        <v>114</v>
      </c>
      <c r="O123" s="0" t="str">
        <f aca="false">IFERROR(IF(option_sel=0,"",IF(LEN(INDEX(Opt_Overview!$C$7:$M$38,MATCH($A123,Opt_Overview!$A$7:$A$38,0),option_sel))=0,"",INDEX(Opt_Overview!$C$7:$M$38,MATCH($A123,Opt_Overview!$A$7:$A$38,0),option_sel))),"")</f>
        <v/>
      </c>
    </row>
    <row r="124" customFormat="false" ht="15" hidden="false" customHeight="false" outlineLevel="0" collapsed="false">
      <c r="A124" s="0" t="s">
        <v>320</v>
      </c>
      <c r="B124" s="0" t="s">
        <v>313</v>
      </c>
      <c r="C124" s="3" t="n">
        <v>2</v>
      </c>
      <c r="D124" s="3" t="n">
        <v>3</v>
      </c>
      <c r="E124" s="3" t="n">
        <v>4</v>
      </c>
      <c r="F124" s="3" t="n">
        <v>3</v>
      </c>
      <c r="G124" s="3" t="n">
        <v>1</v>
      </c>
      <c r="H124" s="8" t="n">
        <f aca="false">INDEX(C124:E124,1,CHOOSE(scenario,F124,2,G124))</f>
        <v>3</v>
      </c>
      <c r="I124" s="7"/>
      <c r="J124" s="2" t="n">
        <f aca="false">IF(I124&lt;&gt;"",I124,IF(O124&lt;&gt;"",O124,H124))</f>
        <v>3</v>
      </c>
      <c r="K124" s="8" t="s">
        <v>53</v>
      </c>
      <c r="L124" s="8" t="s">
        <v>314</v>
      </c>
      <c r="M124" s="8" t="s">
        <v>321</v>
      </c>
      <c r="N124" s="8" t="s">
        <v>114</v>
      </c>
      <c r="O124" s="0" t="str">
        <f aca="false">IFERROR(IF(option_sel=0,"",IF(LEN(INDEX(Opt_Overview!$C$7:$M$38,MATCH($A124,Opt_Overview!$A$7:$A$38,0),option_sel))=0,"",INDEX(Opt_Overview!$C$7:$M$38,MATCH($A124,Opt_Overview!$A$7:$A$38,0),option_sel))),"")</f>
        <v/>
      </c>
    </row>
    <row r="125" customFormat="false" ht="15" hidden="false" customHeight="false" outlineLevel="0" collapsed="false">
      <c r="A125" s="0" t="s">
        <v>322</v>
      </c>
      <c r="B125" s="0" t="s">
        <v>317</v>
      </c>
      <c r="C125" s="3" t="n">
        <v>80000</v>
      </c>
      <c r="D125" s="3" t="n">
        <v>90000</v>
      </c>
      <c r="E125" s="3" t="n">
        <v>110000</v>
      </c>
      <c r="F125" s="3" t="n">
        <v>3</v>
      </c>
      <c r="G125" s="3" t="n">
        <v>1</v>
      </c>
      <c r="H125" s="8" t="n">
        <f aca="false">INDEX(C125:E125,1,CHOOSE(scenario,F125,2,G125))</f>
        <v>90000</v>
      </c>
      <c r="I125" s="7"/>
      <c r="J125" s="2" t="n">
        <f aca="false">IF(I125&lt;&gt;"",I125,IF(O125&lt;&gt;"",O125,H125))</f>
        <v>90000</v>
      </c>
      <c r="K125" s="8" t="s">
        <v>53</v>
      </c>
      <c r="L125" s="8" t="s">
        <v>323</v>
      </c>
      <c r="N125" s="8" t="s">
        <v>114</v>
      </c>
      <c r="O125" s="0" t="str">
        <f aca="false">IFERROR(IF(option_sel=0,"",IF(LEN(INDEX(Opt_Overview!$C$7:$M$38,MATCH($A125,Opt_Overview!$A$7:$A$38,0),option_sel))=0,"",INDEX(Opt_Overview!$C$7:$M$38,MATCH($A125,Opt_Overview!$A$7:$A$38,0),option_sel))),"")</f>
        <v/>
      </c>
    </row>
    <row r="126" customFormat="false" ht="15" hidden="false" customHeight="false" outlineLevel="0" collapsed="false">
      <c r="A126" s="0" t="s">
        <v>324</v>
      </c>
      <c r="B126" s="0" t="s">
        <v>58</v>
      </c>
      <c r="C126" s="3" t="n">
        <v>0</v>
      </c>
      <c r="D126" s="3" t="n">
        <v>0.5</v>
      </c>
      <c r="E126" s="3" t="n">
        <v>1</v>
      </c>
      <c r="F126" s="3" t="n">
        <v>3</v>
      </c>
      <c r="G126" s="3" t="n">
        <v>1</v>
      </c>
      <c r="H126" s="8" t="n">
        <f aca="false">INDEX(C126:E126,1,CHOOSE(scenario,F126,2,G126))</f>
        <v>0.5</v>
      </c>
      <c r="I126" s="7"/>
      <c r="J126" s="2" t="n">
        <f aca="false">IF(I126&lt;&gt;"",I126,IF(O126&lt;&gt;"",O126,H126))</f>
        <v>0.5</v>
      </c>
      <c r="K126" s="8" t="s">
        <v>62</v>
      </c>
      <c r="L126" s="8" t="s">
        <v>325</v>
      </c>
      <c r="M126" s="8" t="s">
        <v>326</v>
      </c>
      <c r="N126" s="8" t="s">
        <v>114</v>
      </c>
      <c r="O126" s="0" t="str">
        <f aca="false">IFERROR(IF(option_sel=0,"",IF(LEN(INDEX(Opt_Overview!$C$7:$M$38,MATCH($A126,Opt_Overview!$A$7:$A$38,0),option_sel))=0,"",INDEX(Opt_Overview!$C$7:$M$38,MATCH($A126,Opt_Overview!$A$7:$A$38,0),option_sel))),"")</f>
        <v/>
      </c>
    </row>
    <row r="127" customFormat="false" ht="15" hidden="false" customHeight="false" outlineLevel="0" collapsed="false">
      <c r="A127" s="0" t="s">
        <v>327</v>
      </c>
      <c r="B127" s="0" t="s">
        <v>58</v>
      </c>
      <c r="C127" s="3" t="n">
        <v>1.5</v>
      </c>
      <c r="D127" s="3" t="n">
        <v>2.5</v>
      </c>
      <c r="E127" s="3" t="n">
        <v>4</v>
      </c>
      <c r="F127" s="3" t="n">
        <v>3</v>
      </c>
      <c r="G127" s="3" t="n">
        <v>1</v>
      </c>
      <c r="H127" s="8" t="n">
        <f aca="false">INDEX(C127:E127,1,CHOOSE(scenario,F127,2,G127))</f>
        <v>2.5</v>
      </c>
      <c r="I127" s="7"/>
      <c r="J127" s="2" t="n">
        <f aca="false">IF(I127&lt;&gt;"",I127,IF(O127&lt;&gt;"",O127,H127))</f>
        <v>2.5</v>
      </c>
      <c r="K127" s="8" t="s">
        <v>53</v>
      </c>
      <c r="L127" s="8" t="s">
        <v>328</v>
      </c>
      <c r="M127" s="8" t="s">
        <v>329</v>
      </c>
      <c r="N127" s="8" t="s">
        <v>114</v>
      </c>
      <c r="O127" s="0" t="str">
        <f aca="false">IFERROR(IF(option_sel=0,"",IF(LEN(INDEX(Opt_Overview!$C$7:$M$38,MATCH($A127,Opt_Overview!$A$7:$A$38,0),option_sel))=0,"",INDEX(Opt_Overview!$C$7:$M$38,MATCH($A127,Opt_Overview!$A$7:$A$38,0),option_sel))),"")</f>
        <v/>
      </c>
    </row>
    <row r="128" customFormat="false" ht="15" hidden="false" customHeight="false" outlineLevel="0" collapsed="false">
      <c r="A128" s="0" t="s">
        <v>330</v>
      </c>
      <c r="B128" s="0" t="s">
        <v>317</v>
      </c>
      <c r="C128" s="3" t="n">
        <v>30000</v>
      </c>
      <c r="D128" s="3" t="n">
        <v>50000</v>
      </c>
      <c r="E128" s="3" t="n">
        <v>80000</v>
      </c>
      <c r="F128" s="3" t="n">
        <v>3</v>
      </c>
      <c r="G128" s="3" t="n">
        <v>1</v>
      </c>
      <c r="H128" s="8" t="n">
        <f aca="false">INDEX(C128:E128,1,CHOOSE(scenario,F128,2,G128))</f>
        <v>50000</v>
      </c>
      <c r="I128" s="7"/>
      <c r="J128" s="2" t="n">
        <f aca="false">IF(I128&lt;&gt;"",I128,IF(O128&lt;&gt;"",O128,H128))</f>
        <v>50000</v>
      </c>
      <c r="K128" s="8" t="s">
        <v>53</v>
      </c>
      <c r="L128" s="8" t="s">
        <v>331</v>
      </c>
      <c r="M128" s="8" t="s">
        <v>332</v>
      </c>
      <c r="N128" s="8" t="s">
        <v>114</v>
      </c>
      <c r="O128" s="0" t="str">
        <f aca="false">IFERROR(IF(option_sel=0,"",IF(LEN(INDEX(Opt_Overview!$C$7:$M$38,MATCH($A128,Opt_Overview!$A$7:$A$38,0),option_sel))=0,"",INDEX(Opt_Overview!$C$7:$M$38,MATCH($A128,Opt_Overview!$A$7:$A$38,0),option_sel))),"")</f>
        <v/>
      </c>
    </row>
    <row r="129" customFormat="false" ht="15" hidden="false" customHeight="false" outlineLevel="0" collapsed="false">
      <c r="A129" s="0" t="s">
        <v>333</v>
      </c>
      <c r="B129" s="0" t="s">
        <v>334</v>
      </c>
      <c r="C129" s="3" t="n">
        <v>10000</v>
      </c>
      <c r="D129" s="3" t="n">
        <v>15000</v>
      </c>
      <c r="E129" s="3" t="n">
        <v>25000</v>
      </c>
      <c r="F129" s="3" t="n">
        <v>3</v>
      </c>
      <c r="G129" s="3" t="n">
        <v>1</v>
      </c>
      <c r="H129" s="8" t="n">
        <f aca="false">INDEX(C129:E129,1,CHOOSE(scenario,F129,2,G129))</f>
        <v>15000</v>
      </c>
      <c r="I129" s="7"/>
      <c r="J129" s="2" t="n">
        <f aca="false">IF(I129&lt;&gt;"",I129,IF(O129&lt;&gt;"",O129,H129))</f>
        <v>15000</v>
      </c>
      <c r="K129" s="8" t="s">
        <v>53</v>
      </c>
      <c r="L129" s="8" t="s">
        <v>335</v>
      </c>
      <c r="N129" s="8" t="s">
        <v>114</v>
      </c>
      <c r="O129" s="0" t="str">
        <f aca="false">IFERROR(IF(option_sel=0,"",IF(LEN(INDEX(Opt_Overview!$C$7:$M$38,MATCH($A129,Opt_Overview!$A$7:$A$38,0),option_sel))=0,"",INDEX(Opt_Overview!$C$7:$M$38,MATCH($A129,Opt_Overview!$A$7:$A$38,0),option_sel))),"")</f>
        <v/>
      </c>
    </row>
    <row r="130" customFormat="false" ht="15" hidden="false" customHeight="false" outlineLevel="0" collapsed="false">
      <c r="A130" s="0" t="s">
        <v>336</v>
      </c>
      <c r="B130" s="0" t="s">
        <v>337</v>
      </c>
      <c r="C130" s="3" t="n">
        <v>6</v>
      </c>
      <c r="D130" s="3" t="n">
        <v>10</v>
      </c>
      <c r="E130" s="3" t="n">
        <v>15</v>
      </c>
      <c r="F130" s="3" t="n">
        <v>3</v>
      </c>
      <c r="G130" s="3" t="n">
        <v>1</v>
      </c>
      <c r="H130" s="8" t="n">
        <f aca="false">INDEX(C130:E130,1,CHOOSE(scenario,F130,2,G130))</f>
        <v>10</v>
      </c>
      <c r="I130" s="7"/>
      <c r="J130" s="2" t="n">
        <f aca="false">IF(I130&lt;&gt;"",I130,IF(O130&lt;&gt;"",O130,H130))</f>
        <v>10</v>
      </c>
      <c r="K130" s="8" t="s">
        <v>62</v>
      </c>
      <c r="L130" s="8" t="s">
        <v>338</v>
      </c>
      <c r="M130" s="8" t="s">
        <v>339</v>
      </c>
      <c r="N130" s="8" t="s">
        <v>114</v>
      </c>
      <c r="O130" s="0" t="str">
        <f aca="false">IFERROR(IF(option_sel=0,"",IF(LEN(INDEX(Opt_Overview!$C$7:$M$38,MATCH($A130,Opt_Overview!$A$7:$A$38,0),option_sel))=0,"",INDEX(Opt_Overview!$C$7:$M$38,MATCH($A130,Opt_Overview!$A$7:$A$38,0),option_sel))),"")</f>
        <v/>
      </c>
    </row>
    <row r="131" customFormat="false" ht="15" hidden="false" customHeight="false" outlineLevel="0" collapsed="false">
      <c r="A131" s="0" t="s">
        <v>340</v>
      </c>
      <c r="B131" s="0" t="s">
        <v>317</v>
      </c>
      <c r="C131" s="3" t="n">
        <v>200000</v>
      </c>
      <c r="D131" s="3" t="n">
        <v>300000</v>
      </c>
      <c r="E131" s="3" t="n">
        <v>450000</v>
      </c>
      <c r="F131" s="3" t="n">
        <v>3</v>
      </c>
      <c r="G131" s="3" t="n">
        <v>1</v>
      </c>
      <c r="H131" s="8" t="n">
        <f aca="false">INDEX(C131:E131,1,CHOOSE(scenario,F131,2,G131))</f>
        <v>300000</v>
      </c>
      <c r="I131" s="7"/>
      <c r="J131" s="2" t="n">
        <f aca="false">IF(I131&lt;&gt;"",I131,IF(O131&lt;&gt;"",O131,H131))</f>
        <v>300000</v>
      </c>
      <c r="K131" s="8" t="s">
        <v>53</v>
      </c>
      <c r="L131" s="8" t="s">
        <v>341</v>
      </c>
      <c r="M131" s="8" t="s">
        <v>342</v>
      </c>
      <c r="N131" s="8" t="s">
        <v>114</v>
      </c>
      <c r="O131" s="0" t="str">
        <f aca="false">IFERROR(IF(option_sel=0,"",IF(LEN(INDEX(Opt_Overview!$C$7:$M$38,MATCH($A131,Opt_Overview!$A$7:$A$38,0),option_sel))=0,"",INDEX(Opt_Overview!$C$7:$M$38,MATCH($A131,Opt_Overview!$A$7:$A$38,0),option_sel))),"")</f>
        <v/>
      </c>
    </row>
    <row r="132" customFormat="false" ht="15" hidden="false" customHeight="false" outlineLevel="0" collapsed="false">
      <c r="A132" s="0" t="s">
        <v>343</v>
      </c>
      <c r="B132" s="0" t="s">
        <v>66</v>
      </c>
      <c r="C132" s="3" t="n">
        <v>0.3</v>
      </c>
      <c r="D132" s="3" t="n">
        <v>0.5</v>
      </c>
      <c r="E132" s="3" t="n">
        <v>1</v>
      </c>
      <c r="F132" s="3" t="n">
        <v>3</v>
      </c>
      <c r="G132" s="3" t="n">
        <v>1</v>
      </c>
      <c r="H132" s="8" t="n">
        <f aca="false">INDEX(C132:E132,1,CHOOSE(scenario,F132,2,G132))</f>
        <v>0.5</v>
      </c>
      <c r="I132" s="7"/>
      <c r="J132" s="2" t="n">
        <f aca="false">IF(I132&lt;&gt;"",I132,IF(O132&lt;&gt;"",O132,H132))</f>
        <v>0.5</v>
      </c>
      <c r="K132" s="8" t="s">
        <v>53</v>
      </c>
      <c r="L132" s="8" t="s">
        <v>344</v>
      </c>
      <c r="N132" s="8" t="s">
        <v>114</v>
      </c>
      <c r="O132" s="0" t="str">
        <f aca="false">IFERROR(IF(option_sel=0,"",IF(LEN(INDEX(Opt_Overview!$C$7:$M$38,MATCH($A132,Opt_Overview!$A$7:$A$38,0),option_sel))=0,"",INDEX(Opt_Overview!$C$7:$M$38,MATCH($A132,Opt_Overview!$A$7:$A$38,0),option_sel))),"")</f>
        <v/>
      </c>
    </row>
    <row r="133" customFormat="false" ht="15" hidden="false" customHeight="false" outlineLevel="0" collapsed="false">
      <c r="A133" s="0" t="s">
        <v>345</v>
      </c>
      <c r="B133" s="0" t="s">
        <v>287</v>
      </c>
      <c r="C133" s="3" t="n">
        <v>7</v>
      </c>
      <c r="D133" s="3" t="n">
        <v>9</v>
      </c>
      <c r="E133" s="3" t="n">
        <v>11</v>
      </c>
      <c r="F133" s="3" t="n">
        <v>3</v>
      </c>
      <c r="G133" s="3" t="n">
        <v>1</v>
      </c>
      <c r="H133" s="8" t="n">
        <f aca="false">INDEX(C133:E133,1,CHOOSE(scenario,F133,2,G133))</f>
        <v>9</v>
      </c>
      <c r="I133" s="7"/>
      <c r="J133" s="2" t="n">
        <f aca="false">IF(I133&lt;&gt;"",I133,IF(O133&lt;&gt;"",O133,H133))</f>
        <v>9</v>
      </c>
      <c r="K133" s="8" t="s">
        <v>62</v>
      </c>
      <c r="L133" s="8" t="s">
        <v>346</v>
      </c>
      <c r="M133" s="8" t="s">
        <v>347</v>
      </c>
      <c r="N133" s="8" t="s">
        <v>114</v>
      </c>
      <c r="O133" s="0" t="str">
        <f aca="false">IFERROR(IF(option_sel=0,"",IF(LEN(INDEX(Opt_Overview!$C$7:$M$38,MATCH($A133,Opt_Overview!$A$7:$A$38,0),option_sel))=0,"",INDEX(Opt_Overview!$C$7:$M$38,MATCH($A133,Opt_Overview!$A$7:$A$38,0),option_sel))),"")</f>
        <v/>
      </c>
    </row>
    <row r="134" customFormat="false" ht="15" hidden="false" customHeight="false" outlineLevel="0" collapsed="false">
      <c r="A134" s="0" t="s">
        <v>348</v>
      </c>
      <c r="B134" s="0" t="s">
        <v>349</v>
      </c>
      <c r="C134" s="3" t="n">
        <v>0.4</v>
      </c>
      <c r="D134" s="3" t="n">
        <v>0.5</v>
      </c>
      <c r="E134" s="3" t="n">
        <v>0.6</v>
      </c>
      <c r="F134" s="3" t="n">
        <v>3</v>
      </c>
      <c r="G134" s="3" t="n">
        <v>1</v>
      </c>
      <c r="H134" s="8" t="n">
        <f aca="false">INDEX(C134:E134,1,CHOOSE(scenario,F134,2,G134))</f>
        <v>0.5</v>
      </c>
      <c r="I134" s="7"/>
      <c r="J134" s="2" t="n">
        <f aca="false">IF(I134&lt;&gt;"",I134,IF(O134&lt;&gt;"",O134,H134))</f>
        <v>0.5</v>
      </c>
      <c r="K134" s="8" t="s">
        <v>62</v>
      </c>
      <c r="L134" s="8" t="s">
        <v>346</v>
      </c>
      <c r="N134" s="8" t="s">
        <v>114</v>
      </c>
      <c r="O134" s="0" t="str">
        <f aca="false">IFERROR(IF(option_sel=0,"",IF(LEN(INDEX(Opt_Overview!$C$7:$M$38,MATCH($A134,Opt_Overview!$A$7:$A$38,0),option_sel))=0,"",INDEX(Opt_Overview!$C$7:$M$38,MATCH($A134,Opt_Overview!$A$7:$A$38,0),option_sel))),"")</f>
        <v/>
      </c>
    </row>
    <row r="135" customFormat="false" ht="15" hidden="false" customHeight="false" outlineLevel="0" collapsed="false">
      <c r="A135" s="0" t="s">
        <v>350</v>
      </c>
      <c r="B135" s="0" t="s">
        <v>262</v>
      </c>
      <c r="C135" s="3" t="n">
        <v>10</v>
      </c>
      <c r="D135" s="3" t="n">
        <v>20</v>
      </c>
      <c r="E135" s="3" t="n">
        <v>35</v>
      </c>
      <c r="F135" s="3" t="n">
        <v>3</v>
      </c>
      <c r="G135" s="3" t="n">
        <v>1</v>
      </c>
      <c r="H135" s="8" t="n">
        <f aca="false">INDEX(C135:E135,1,CHOOSE(scenario,F135,2,G135))</f>
        <v>20</v>
      </c>
      <c r="I135" s="7"/>
      <c r="J135" s="2" t="n">
        <f aca="false">IF(I135&lt;&gt;"",I135,IF(O135&lt;&gt;"",O135,H135))</f>
        <v>20</v>
      </c>
      <c r="K135" s="8" t="s">
        <v>62</v>
      </c>
      <c r="L135" s="8" t="s">
        <v>351</v>
      </c>
      <c r="M135" s="8" t="s">
        <v>352</v>
      </c>
      <c r="N135" s="8" t="s">
        <v>114</v>
      </c>
      <c r="O135" s="0" t="str">
        <f aca="false">IFERROR(IF(option_sel=0,"",IF(LEN(INDEX(Opt_Overview!$C$7:$M$38,MATCH($A135,Opt_Overview!$A$7:$A$38,0),option_sel))=0,"",INDEX(Opt_Overview!$C$7:$M$38,MATCH($A135,Opt_Overview!$A$7:$A$38,0),option_sel))),"")</f>
        <v/>
      </c>
    </row>
    <row r="136" customFormat="false" ht="15" hidden="false" customHeight="false" outlineLevel="0" collapsed="false">
      <c r="A136" s="0" t="s">
        <v>353</v>
      </c>
      <c r="B136" s="0" t="s">
        <v>262</v>
      </c>
      <c r="C136" s="3" t="n">
        <v>25</v>
      </c>
      <c r="D136" s="3" t="n">
        <v>35</v>
      </c>
      <c r="E136" s="3" t="n">
        <v>50</v>
      </c>
      <c r="F136" s="3" t="n">
        <v>2</v>
      </c>
      <c r="G136" s="3" t="n">
        <v>2</v>
      </c>
      <c r="H136" s="8" t="n">
        <f aca="false">INDEX(C136:E136,1,CHOOSE(scenario,F136,2,G136))</f>
        <v>35</v>
      </c>
      <c r="I136" s="7"/>
      <c r="J136" s="2" t="n">
        <f aca="false">IF(I136&lt;&gt;"",I136,IF(O136&lt;&gt;"",O136,H136))</f>
        <v>35</v>
      </c>
      <c r="K136" s="8" t="s">
        <v>53</v>
      </c>
      <c r="L136" s="8" t="s">
        <v>354</v>
      </c>
      <c r="M136" s="8" t="s">
        <v>355</v>
      </c>
      <c r="N136" s="8" t="s">
        <v>56</v>
      </c>
      <c r="O136" s="0" t="str">
        <f aca="false">IFERROR(IF(option_sel=0,"",IF(LEN(INDEX(Opt_Overview!$C$7:$M$38,MATCH($A136,Opt_Overview!$A$7:$A$38,0),option_sel))=0,"",INDEX(Opt_Overview!$C$7:$M$38,MATCH($A136,Opt_Overview!$A$7:$A$38,0),option_sel))),"")</f>
        <v/>
      </c>
    </row>
    <row r="137" customFormat="false" ht="15" hidden="false" customHeight="false" outlineLevel="0" collapsed="false">
      <c r="A137" s="0" t="s">
        <v>356</v>
      </c>
      <c r="B137" s="0" t="s">
        <v>357</v>
      </c>
      <c r="C137" s="3" t="n">
        <v>95</v>
      </c>
      <c r="D137" s="3" t="n">
        <v>110</v>
      </c>
      <c r="E137" s="3" t="n">
        <v>130</v>
      </c>
      <c r="F137" s="3" t="n">
        <v>2</v>
      </c>
      <c r="G137" s="3" t="n">
        <v>2</v>
      </c>
      <c r="H137" s="8" t="n">
        <f aca="false">INDEX(C137:E137,1,CHOOSE(scenario,F137,2,G137))</f>
        <v>110</v>
      </c>
      <c r="I137" s="7"/>
      <c r="J137" s="2" t="n">
        <f aca="false">IF(I137&lt;&gt;"",I137,IF(O137&lt;&gt;"",O137,H137))</f>
        <v>110</v>
      </c>
      <c r="K137" s="8" t="s">
        <v>62</v>
      </c>
      <c r="L137" s="8" t="s">
        <v>358</v>
      </c>
      <c r="N137" s="8" t="s">
        <v>56</v>
      </c>
      <c r="O137" s="0" t="str">
        <f aca="false">IFERROR(IF(option_sel=0,"",IF(LEN(INDEX(Opt_Overview!$C$7:$M$38,MATCH($A137,Opt_Overview!$A$7:$A$38,0),option_sel))=0,"",INDEX(Opt_Overview!$C$7:$M$38,MATCH($A137,Opt_Overview!$A$7:$A$38,0),option_sel))),"")</f>
        <v/>
      </c>
    </row>
    <row r="138" customFormat="false" ht="15" hidden="false" customHeight="false" outlineLevel="0" collapsed="false">
      <c r="A138" s="0" t="s">
        <v>359</v>
      </c>
      <c r="B138" s="0" t="s">
        <v>287</v>
      </c>
      <c r="C138" s="3" t="n">
        <v>130</v>
      </c>
      <c r="D138" s="3" t="n">
        <v>145</v>
      </c>
      <c r="E138" s="3" t="n">
        <v>165</v>
      </c>
      <c r="F138" s="3" t="n">
        <v>2</v>
      </c>
      <c r="G138" s="3" t="n">
        <v>2</v>
      </c>
      <c r="H138" s="8" t="n">
        <f aca="false">INDEX(C138:E138,1,CHOOSE(scenario,F138,2,G138))</f>
        <v>145</v>
      </c>
      <c r="I138" s="7"/>
      <c r="J138" s="2" t="n">
        <f aca="false">IF(I138&lt;&gt;"",I138,IF(O138&lt;&gt;"",O138,H138))</f>
        <v>145</v>
      </c>
      <c r="K138" s="8" t="s">
        <v>62</v>
      </c>
      <c r="L138" s="8" t="s">
        <v>360</v>
      </c>
      <c r="M138" s="8" t="s">
        <v>361</v>
      </c>
      <c r="N138" s="8" t="s">
        <v>56</v>
      </c>
      <c r="O138" s="0" t="str">
        <f aca="false">IFERROR(IF(option_sel=0,"",IF(LEN(INDEX(Opt_Overview!$C$7:$M$38,MATCH($A138,Opt_Overview!$A$7:$A$38,0),option_sel))=0,"",INDEX(Opt_Overview!$C$7:$M$38,MATCH($A138,Opt_Overview!$A$7:$A$38,0),option_sel))),"")</f>
        <v/>
      </c>
    </row>
    <row r="139" customFormat="false" ht="15" hidden="false" customHeight="false" outlineLevel="0" collapsed="false">
      <c r="A139" s="0" t="s">
        <v>362</v>
      </c>
      <c r="B139" s="0" t="s">
        <v>287</v>
      </c>
      <c r="C139" s="3" t="n">
        <v>115</v>
      </c>
      <c r="D139" s="3" t="n">
        <v>135</v>
      </c>
      <c r="E139" s="3" t="n">
        <v>155</v>
      </c>
      <c r="F139" s="3" t="n">
        <v>1</v>
      </c>
      <c r="G139" s="3" t="n">
        <v>3</v>
      </c>
      <c r="H139" s="8" t="n">
        <f aca="false">INDEX(C139:E139,1,CHOOSE(scenario,F139,2,G139))</f>
        <v>135</v>
      </c>
      <c r="I139" s="7"/>
      <c r="J139" s="2" t="n">
        <f aca="false">IF(I139&lt;&gt;"",I139,IF(O139&lt;&gt;"",O139,H139))</f>
        <v>135</v>
      </c>
      <c r="K139" s="8" t="s">
        <v>62</v>
      </c>
      <c r="L139" s="8" t="s">
        <v>363</v>
      </c>
      <c r="M139" s="8" t="s">
        <v>364</v>
      </c>
      <c r="N139" s="8" t="s">
        <v>78</v>
      </c>
      <c r="O139" s="0" t="str">
        <f aca="false">IFERROR(IF(option_sel=0,"",IF(LEN(INDEX(Opt_Overview!$C$7:$M$38,MATCH($A139,Opt_Overview!$A$7:$A$38,0),option_sel))=0,"",INDEX(Opt_Overview!$C$7:$M$38,MATCH($A139,Opt_Overview!$A$7:$A$38,0),option_sel))),"")</f>
        <v/>
      </c>
    </row>
    <row r="140" customFormat="false" ht="15" hidden="false" customHeight="false" outlineLevel="0" collapsed="false">
      <c r="A140" s="0" t="s">
        <v>365</v>
      </c>
      <c r="B140" s="0" t="s">
        <v>287</v>
      </c>
      <c r="C140" s="3" t="n">
        <v>195</v>
      </c>
      <c r="D140" s="3" t="n">
        <v>212</v>
      </c>
      <c r="E140" s="3" t="n">
        <v>225</v>
      </c>
      <c r="F140" s="3" t="n">
        <v>2</v>
      </c>
      <c r="G140" s="3" t="n">
        <v>2</v>
      </c>
      <c r="H140" s="8" t="n">
        <f aca="false">INDEX(C140:E140,1,CHOOSE(scenario,F140,2,G140))</f>
        <v>212</v>
      </c>
      <c r="I140" s="7"/>
      <c r="J140" s="2" t="n">
        <f aca="false">IF(I140&lt;&gt;"",I140,IF(O140&lt;&gt;"",O140,H140))</f>
        <v>212</v>
      </c>
      <c r="K140" s="8" t="s">
        <v>172</v>
      </c>
      <c r="L140" s="8" t="s">
        <v>366</v>
      </c>
      <c r="M140" s="8" t="s">
        <v>367</v>
      </c>
      <c r="N140" s="8" t="s">
        <v>56</v>
      </c>
      <c r="O140" s="0" t="str">
        <f aca="false">IFERROR(IF(option_sel=0,"",IF(LEN(INDEX(Opt_Overview!$C$7:$M$38,MATCH($A140,Opt_Overview!$A$7:$A$38,0),option_sel))=0,"",INDEX(Opt_Overview!$C$7:$M$38,MATCH($A140,Opt_Overview!$A$7:$A$38,0),option_sel))),"")</f>
        <v/>
      </c>
    </row>
    <row r="141" customFormat="false" ht="15" hidden="false" customHeight="false" outlineLevel="0" collapsed="false">
      <c r="A141" s="0" t="s">
        <v>368</v>
      </c>
      <c r="B141" s="0" t="s">
        <v>369</v>
      </c>
      <c r="C141" s="3" t="n">
        <v>0</v>
      </c>
      <c r="D141" s="3" t="n">
        <v>3</v>
      </c>
      <c r="E141" s="3" t="n">
        <v>8</v>
      </c>
      <c r="F141" s="3" t="n">
        <v>1</v>
      </c>
      <c r="G141" s="3" t="n">
        <v>3</v>
      </c>
      <c r="H141" s="8" t="n">
        <f aca="false">INDEX(C141:E141,1,CHOOSE(scenario,F141,2,G141))</f>
        <v>3</v>
      </c>
      <c r="I141" s="7"/>
      <c r="J141" s="2" t="n">
        <f aca="false">IF(I141&lt;&gt;"",I141,IF(O141&lt;&gt;"",O141,H141))</f>
        <v>3</v>
      </c>
      <c r="K141" s="8" t="s">
        <v>53</v>
      </c>
      <c r="L141" s="8" t="s">
        <v>370</v>
      </c>
      <c r="M141" s="8" t="s">
        <v>371</v>
      </c>
      <c r="N141" s="8" t="s">
        <v>78</v>
      </c>
      <c r="O141" s="0" t="str">
        <f aca="false">IFERROR(IF(option_sel=0,"",IF(LEN(INDEX(Opt_Overview!$C$7:$M$38,MATCH($A141,Opt_Overview!$A$7:$A$38,0),option_sel))=0,"",INDEX(Opt_Overview!$C$7:$M$38,MATCH($A141,Opt_Overview!$A$7:$A$38,0),option_sel))),"")</f>
        <v/>
      </c>
    </row>
    <row r="142" customFormat="false" ht="15" hidden="false" customHeight="false" outlineLevel="0" collapsed="false">
      <c r="A142" s="0" t="s">
        <v>372</v>
      </c>
      <c r="B142" s="0" t="s">
        <v>369</v>
      </c>
      <c r="C142" s="3" t="n">
        <v>-2</v>
      </c>
      <c r="D142" s="3" t="n">
        <v>0</v>
      </c>
      <c r="E142" s="3" t="n">
        <v>3</v>
      </c>
      <c r="F142" s="3" t="n">
        <v>1</v>
      </c>
      <c r="G142" s="3" t="n">
        <v>3</v>
      </c>
      <c r="H142" s="8" t="n">
        <f aca="false">INDEX(C142:E142,1,CHOOSE(scenario,F142,2,G142))</f>
        <v>0</v>
      </c>
      <c r="I142" s="7"/>
      <c r="J142" s="2" t="n">
        <f aca="false">IF(I142&lt;&gt;"",I142,IF(O142&lt;&gt;"",O142,H142))</f>
        <v>0</v>
      </c>
      <c r="K142" s="8" t="s">
        <v>53</v>
      </c>
      <c r="L142" s="8" t="s">
        <v>373</v>
      </c>
      <c r="M142" s="8" t="s">
        <v>374</v>
      </c>
      <c r="N142" s="8" t="s">
        <v>78</v>
      </c>
      <c r="O142" s="0" t="str">
        <f aca="false">IFERROR(IF(option_sel=0,"",IF(LEN(INDEX(Opt_Overview!$C$7:$M$38,MATCH($A142,Opt_Overview!$A$7:$A$38,0),option_sel))=0,"",INDEX(Opt_Overview!$C$7:$M$38,MATCH($A142,Opt_Overview!$A$7:$A$38,0),option_sel))),"")</f>
        <v/>
      </c>
    </row>
    <row r="143" customFormat="false" ht="15" hidden="false" customHeight="false" outlineLevel="0" collapsed="false">
      <c r="A143" s="0" t="s">
        <v>375</v>
      </c>
      <c r="B143" s="0" t="s">
        <v>287</v>
      </c>
      <c r="C143" s="3" t="n">
        <v>3.3</v>
      </c>
      <c r="D143" s="3" t="n">
        <v>5.5</v>
      </c>
      <c r="E143" s="3" t="n">
        <v>11</v>
      </c>
      <c r="F143" s="3" t="n">
        <v>2</v>
      </c>
      <c r="G143" s="3" t="n">
        <v>2</v>
      </c>
      <c r="H143" s="8" t="n">
        <f aca="false">INDEX(C143:E143,1,CHOOSE(scenario,F143,2,G143))</f>
        <v>5.5</v>
      </c>
      <c r="I143" s="7"/>
      <c r="J143" s="2" t="n">
        <f aca="false">IF(I143&lt;&gt;"",I143,IF(O143&lt;&gt;"",O143,H143))</f>
        <v>5.5</v>
      </c>
      <c r="K143" s="8" t="s">
        <v>172</v>
      </c>
      <c r="L143" s="8" t="s">
        <v>376</v>
      </c>
      <c r="M143" s="8" t="s">
        <v>377</v>
      </c>
      <c r="N143" s="8" t="s">
        <v>56</v>
      </c>
      <c r="O143" s="0" t="str">
        <f aca="false">IFERROR(IF(option_sel=0,"",IF(LEN(INDEX(Opt_Overview!$C$7:$M$38,MATCH($A143,Opt_Overview!$A$7:$A$38,0),option_sel))=0,"",INDEX(Opt_Overview!$C$7:$M$38,MATCH($A143,Opt_Overview!$A$7:$A$38,0),option_sel))),"")</f>
        <v/>
      </c>
    </row>
    <row r="144" customFormat="false" ht="15" hidden="false" customHeight="false" outlineLevel="0" collapsed="false">
      <c r="A144" s="0" t="s">
        <v>378</v>
      </c>
      <c r="B144" s="0" t="s">
        <v>287</v>
      </c>
      <c r="C144" s="3" t="n">
        <v>0</v>
      </c>
      <c r="D144" s="3" t="n">
        <v>0.5</v>
      </c>
      <c r="E144" s="3" t="n">
        <v>3.4</v>
      </c>
      <c r="F144" s="3" t="n">
        <v>2</v>
      </c>
      <c r="G144" s="3" t="n">
        <v>2</v>
      </c>
      <c r="H144" s="8" t="n">
        <f aca="false">INDEX(C144:E144,1,CHOOSE(scenario,F144,2,G144))</f>
        <v>0.5</v>
      </c>
      <c r="I144" s="7"/>
      <c r="J144" s="2" t="n">
        <f aca="false">IF(I144&lt;&gt;"",I144,IF(O144&lt;&gt;"",O144,H144))</f>
        <v>0.5</v>
      </c>
      <c r="K144" s="8" t="s">
        <v>62</v>
      </c>
      <c r="L144" s="8" t="s">
        <v>379</v>
      </c>
      <c r="M144" s="8" t="s">
        <v>380</v>
      </c>
      <c r="N144" s="8" t="s">
        <v>56</v>
      </c>
      <c r="O144" s="0" t="str">
        <f aca="false">IFERROR(IF(option_sel=0,"",IF(LEN(INDEX(Opt_Overview!$C$7:$M$38,MATCH($A144,Opt_Overview!$A$7:$A$38,0),option_sel))=0,"",INDEX(Opt_Overview!$C$7:$M$38,MATCH($A144,Opt_Overview!$A$7:$A$38,0),option_sel))),"")</f>
        <v/>
      </c>
    </row>
    <row r="145" customFormat="false" ht="15" hidden="false" customHeight="false" outlineLevel="0" collapsed="false">
      <c r="A145" s="0" t="s">
        <v>381</v>
      </c>
      <c r="B145" s="0" t="s">
        <v>66</v>
      </c>
      <c r="C145" s="3" t="n">
        <v>35</v>
      </c>
      <c r="D145" s="3" t="n">
        <v>50</v>
      </c>
      <c r="E145" s="3" t="n">
        <v>65</v>
      </c>
      <c r="F145" s="3" t="n">
        <v>2</v>
      </c>
      <c r="G145" s="3" t="n">
        <v>2</v>
      </c>
      <c r="H145" s="8" t="n">
        <f aca="false">INDEX(C145:E145,1,CHOOSE(scenario,F145,2,G145))</f>
        <v>50</v>
      </c>
      <c r="I145" s="7"/>
      <c r="J145" s="2" t="n">
        <f aca="false">IF(I145&lt;&gt;"",I145,IF(O145&lt;&gt;"",O145,H145))</f>
        <v>50</v>
      </c>
      <c r="K145" s="8" t="s">
        <v>53</v>
      </c>
      <c r="L145" s="8" t="s">
        <v>382</v>
      </c>
      <c r="N145" s="8" t="s">
        <v>56</v>
      </c>
      <c r="O145" s="0" t="str">
        <f aca="false">IFERROR(IF(option_sel=0,"",IF(LEN(INDEX(Opt_Overview!$C$7:$M$38,MATCH($A145,Opt_Overview!$A$7:$A$38,0),option_sel))=0,"",INDEX(Opt_Overview!$C$7:$M$38,MATCH($A145,Opt_Overview!$A$7:$A$38,0),option_sel))),"")</f>
        <v/>
      </c>
    </row>
    <row r="146" customFormat="false" ht="15" hidden="false" customHeight="false" outlineLevel="0" collapsed="false">
      <c r="A146" s="0" t="s">
        <v>383</v>
      </c>
      <c r="B146" s="0" t="s">
        <v>58</v>
      </c>
      <c r="C146" s="3" t="n">
        <v>-0.5</v>
      </c>
      <c r="D146" s="3" t="n">
        <v>0</v>
      </c>
      <c r="E146" s="3" t="n">
        <v>0.5</v>
      </c>
      <c r="F146" s="3" t="n">
        <v>1</v>
      </c>
      <c r="G146" s="3" t="n">
        <v>3</v>
      </c>
      <c r="H146" s="8" t="n">
        <f aca="false">INDEX(C146:E146,1,CHOOSE(scenario,F146,2,G146))</f>
        <v>0</v>
      </c>
      <c r="I146" s="7"/>
      <c r="J146" s="2" t="n">
        <f aca="false">IF(I146&lt;&gt;"",I146,IF(O146&lt;&gt;"",O146,H146))</f>
        <v>0</v>
      </c>
      <c r="K146" s="8" t="s">
        <v>53</v>
      </c>
      <c r="L146" s="8" t="s">
        <v>384</v>
      </c>
      <c r="M146" s="8" t="s">
        <v>385</v>
      </c>
      <c r="N146" s="8" t="s">
        <v>78</v>
      </c>
      <c r="O146" s="0" t="str">
        <f aca="false">IFERROR(IF(option_sel=0,"",IF(LEN(INDEX(Opt_Overview!$C$7:$M$38,MATCH($A146,Opt_Overview!$A$7:$A$38,0),option_sel))=0,"",INDEX(Opt_Overview!$C$7:$M$38,MATCH($A146,Opt_Overview!$A$7:$A$38,0),option_sel))),"")</f>
        <v/>
      </c>
    </row>
    <row r="147" customFormat="false" ht="15" hidden="false" customHeight="false" outlineLevel="0" collapsed="false">
      <c r="A147" s="0" t="s">
        <v>386</v>
      </c>
      <c r="B147" s="0" t="s">
        <v>387</v>
      </c>
      <c r="C147" s="3" t="n">
        <v>270</v>
      </c>
      <c r="D147" s="3" t="n">
        <v>300</v>
      </c>
      <c r="E147" s="3" t="n">
        <v>360</v>
      </c>
      <c r="F147" s="3" t="n">
        <v>2</v>
      </c>
      <c r="G147" s="3" t="n">
        <v>2</v>
      </c>
      <c r="H147" s="8" t="n">
        <f aca="false">INDEX(C147:E147,1,CHOOSE(scenario,F147,2,G147))</f>
        <v>300</v>
      </c>
      <c r="I147" s="7"/>
      <c r="J147" s="2" t="n">
        <f aca="false">IF(I147&lt;&gt;"",I147,IF(O147&lt;&gt;"",O147,H147))</f>
        <v>300</v>
      </c>
      <c r="K147" s="8" t="s">
        <v>62</v>
      </c>
      <c r="L147" s="8" t="s">
        <v>388</v>
      </c>
      <c r="M147" s="8" t="s">
        <v>389</v>
      </c>
      <c r="N147" s="8" t="s">
        <v>56</v>
      </c>
      <c r="O147" s="0" t="str">
        <f aca="false">IFERROR(IF(option_sel=0,"",IF(LEN(INDEX(Opt_Overview!$C$7:$M$38,MATCH($A147,Opt_Overview!$A$7:$A$38,0),option_sel))=0,"",INDEX(Opt_Overview!$C$7:$M$38,MATCH($A147,Opt_Overview!$A$7:$A$38,0),option_sel))),"")</f>
        <v/>
      </c>
    </row>
    <row r="148" customFormat="false" ht="15" hidden="false" customHeight="false" outlineLevel="0" collapsed="false">
      <c r="A148" s="0" t="s">
        <v>390</v>
      </c>
      <c r="B148" s="0" t="s">
        <v>387</v>
      </c>
      <c r="C148" s="3" t="n">
        <v>700</v>
      </c>
      <c r="D148" s="3" t="n">
        <v>800</v>
      </c>
      <c r="E148" s="3" t="n">
        <v>900</v>
      </c>
      <c r="F148" s="3" t="n">
        <v>2</v>
      </c>
      <c r="G148" s="3" t="n">
        <v>2</v>
      </c>
      <c r="H148" s="8" t="n">
        <f aca="false">INDEX(C148:E148,1,CHOOSE(scenario,F148,2,G148))</f>
        <v>800</v>
      </c>
      <c r="I148" s="7"/>
      <c r="J148" s="2" t="n">
        <f aca="false">IF(I148&lt;&gt;"",I148,IF(O148&lt;&gt;"",O148,H148))</f>
        <v>800</v>
      </c>
      <c r="K148" s="8" t="s">
        <v>62</v>
      </c>
      <c r="L148" s="8" t="s">
        <v>391</v>
      </c>
      <c r="N148" s="8" t="s">
        <v>56</v>
      </c>
      <c r="O148" s="0" t="str">
        <f aca="false">IFERROR(IF(option_sel=0,"",IF(LEN(INDEX(Opt_Overview!$C$7:$M$38,MATCH($A148,Opt_Overview!$A$7:$A$38,0),option_sel))=0,"",INDEX(Opt_Overview!$C$7:$M$38,MATCH($A148,Opt_Overview!$A$7:$A$38,0),option_sel))),"")</f>
        <v/>
      </c>
    </row>
    <row r="149" customFormat="false" ht="15" hidden="false" customHeight="false" outlineLevel="0" collapsed="false">
      <c r="A149" s="0" t="s">
        <v>392</v>
      </c>
      <c r="B149" s="0" t="s">
        <v>393</v>
      </c>
      <c r="C149" s="3" t="n">
        <v>20</v>
      </c>
      <c r="D149" s="3" t="n">
        <v>30</v>
      </c>
      <c r="E149" s="3" t="n">
        <v>35</v>
      </c>
      <c r="F149" s="3" t="n">
        <v>2</v>
      </c>
      <c r="G149" s="3" t="n">
        <v>2</v>
      </c>
      <c r="H149" s="8" t="n">
        <f aca="false">INDEX(C149:E149,1,CHOOSE(scenario,F149,2,G149))</f>
        <v>30</v>
      </c>
      <c r="I149" s="7"/>
      <c r="J149" s="2" t="n">
        <f aca="false">IF(I149&lt;&gt;"",I149,IF(O149&lt;&gt;"",O149,H149))</f>
        <v>30</v>
      </c>
      <c r="K149" s="8" t="s">
        <v>172</v>
      </c>
      <c r="L149" s="8" t="s">
        <v>394</v>
      </c>
      <c r="M149" s="8" t="s">
        <v>395</v>
      </c>
      <c r="N149" s="8" t="s">
        <v>56</v>
      </c>
      <c r="O149" s="0" t="str">
        <f aca="false">IFERROR(IF(option_sel=0,"",IF(LEN(INDEX(Opt_Overview!$C$7:$M$38,MATCH($A149,Opt_Overview!$A$7:$A$38,0),option_sel))=0,"",INDEX(Opt_Overview!$C$7:$M$38,MATCH($A149,Opt_Overview!$A$7:$A$38,0),option_sel))),"")</f>
        <v/>
      </c>
    </row>
    <row r="150" customFormat="false" ht="15" hidden="false" customHeight="false" outlineLevel="0" collapsed="false">
      <c r="A150" s="0" t="s">
        <v>396</v>
      </c>
      <c r="B150" s="0" t="s">
        <v>393</v>
      </c>
      <c r="C150" s="3" t="n">
        <v>18</v>
      </c>
      <c r="D150" s="3" t="n">
        <v>28</v>
      </c>
      <c r="E150" s="3" t="n">
        <v>33</v>
      </c>
      <c r="F150" s="3" t="n">
        <v>2</v>
      </c>
      <c r="G150" s="3" t="n">
        <v>2</v>
      </c>
      <c r="H150" s="8" t="n">
        <f aca="false">INDEX(C150:E150,1,CHOOSE(scenario,F150,2,G150))</f>
        <v>28</v>
      </c>
      <c r="I150" s="7"/>
      <c r="J150" s="2" t="n">
        <f aca="false">IF(I150&lt;&gt;"",I150,IF(O150&lt;&gt;"",O150,H150))</f>
        <v>28</v>
      </c>
      <c r="K150" s="8" t="s">
        <v>62</v>
      </c>
      <c r="L150" s="8" t="s">
        <v>397</v>
      </c>
      <c r="M150" s="8" t="s">
        <v>398</v>
      </c>
      <c r="N150" s="8" t="s">
        <v>56</v>
      </c>
      <c r="O150" s="0" t="str">
        <f aca="false">IFERROR(IF(option_sel=0,"",IF(LEN(INDEX(Opt_Overview!$C$7:$M$38,MATCH($A150,Opt_Overview!$A$7:$A$38,0),option_sel))=0,"",INDEX(Opt_Overview!$C$7:$M$38,MATCH($A150,Opt_Overview!$A$7:$A$38,0),option_sel))),"")</f>
        <v/>
      </c>
    </row>
    <row r="151" customFormat="false" ht="15" hidden="false" customHeight="false" outlineLevel="0" collapsed="false">
      <c r="A151" s="0" t="s">
        <v>399</v>
      </c>
      <c r="B151" s="0" t="s">
        <v>393</v>
      </c>
      <c r="C151" s="3" t="n">
        <v>109</v>
      </c>
      <c r="D151" s="3" t="n">
        <v>129</v>
      </c>
      <c r="E151" s="3" t="n">
        <v>154</v>
      </c>
      <c r="F151" s="3" t="n">
        <v>2</v>
      </c>
      <c r="G151" s="3" t="n">
        <v>2</v>
      </c>
      <c r="H151" s="8" t="n">
        <f aca="false">INDEX(C151:E151,1,CHOOSE(scenario,F151,2,G151))</f>
        <v>129</v>
      </c>
      <c r="I151" s="7"/>
      <c r="J151" s="2" t="n">
        <f aca="false">IF(I151&lt;&gt;"",I151,IF(O151&lt;&gt;"",O151,H151))</f>
        <v>129</v>
      </c>
      <c r="K151" s="8" t="s">
        <v>62</v>
      </c>
      <c r="L151" s="8" t="s">
        <v>272</v>
      </c>
      <c r="M151" s="8" t="s">
        <v>400</v>
      </c>
      <c r="N151" s="8" t="s">
        <v>56</v>
      </c>
      <c r="O151" s="0" t="str">
        <f aca="false">IFERROR(IF(option_sel=0,"",IF(LEN(INDEX(Opt_Overview!$C$7:$M$38,MATCH($A151,Opt_Overview!$A$7:$A$38,0),option_sel))=0,"",INDEX(Opt_Overview!$C$7:$M$38,MATCH($A151,Opt_Overview!$A$7:$A$38,0),option_sel))),"")</f>
        <v/>
      </c>
    </row>
    <row r="152" customFormat="false" ht="15" hidden="false" customHeight="false" outlineLevel="0" collapsed="false">
      <c r="A152" s="0" t="s">
        <v>401</v>
      </c>
      <c r="B152" s="0" t="s">
        <v>393</v>
      </c>
      <c r="C152" s="3" t="n">
        <v>111</v>
      </c>
      <c r="D152" s="3" t="n">
        <v>132</v>
      </c>
      <c r="E152" s="3" t="n">
        <v>157</v>
      </c>
      <c r="F152" s="3" t="n">
        <v>2</v>
      </c>
      <c r="G152" s="3" t="n">
        <v>2</v>
      </c>
      <c r="H152" s="8" t="n">
        <f aca="false">INDEX(C152:E152,1,CHOOSE(scenario,F152,2,G152))</f>
        <v>132</v>
      </c>
      <c r="I152" s="7"/>
      <c r="J152" s="2" t="n">
        <f aca="false">IF(I152&lt;&gt;"",I152,IF(O152&lt;&gt;"",O152,H152))</f>
        <v>132</v>
      </c>
      <c r="K152" s="8" t="s">
        <v>62</v>
      </c>
      <c r="L152" s="8" t="s">
        <v>272</v>
      </c>
      <c r="M152" s="8" t="s">
        <v>402</v>
      </c>
      <c r="N152" s="8" t="s">
        <v>56</v>
      </c>
      <c r="O152" s="0" t="str">
        <f aca="false">IFERROR(IF(option_sel=0,"",IF(LEN(INDEX(Opt_Overview!$C$7:$M$38,MATCH($A152,Opt_Overview!$A$7:$A$38,0),option_sel))=0,"",INDEX(Opt_Overview!$C$7:$M$38,MATCH($A152,Opt_Overview!$A$7:$A$38,0),option_sel))),"")</f>
        <v/>
      </c>
    </row>
    <row r="153" customFormat="false" ht="15" hidden="false" customHeight="false" outlineLevel="0" collapsed="false">
      <c r="A153" s="0" t="s">
        <v>403</v>
      </c>
      <c r="B153" s="0" t="s">
        <v>393</v>
      </c>
      <c r="C153" s="3" t="n">
        <v>244</v>
      </c>
      <c r="D153" s="3" t="n">
        <v>286</v>
      </c>
      <c r="E153" s="3" t="n">
        <v>323</v>
      </c>
      <c r="F153" s="3" t="n">
        <v>2</v>
      </c>
      <c r="G153" s="3" t="n">
        <v>2</v>
      </c>
      <c r="H153" s="8" t="n">
        <f aca="false">INDEX(C153:E153,1,CHOOSE(scenario,F153,2,G153))</f>
        <v>286</v>
      </c>
      <c r="I153" s="7"/>
      <c r="J153" s="2" t="n">
        <f aca="false">IF(I153&lt;&gt;"",I153,IF(O153&lt;&gt;"",O153,H153))</f>
        <v>286</v>
      </c>
      <c r="K153" s="8" t="s">
        <v>62</v>
      </c>
      <c r="L153" s="8" t="s">
        <v>272</v>
      </c>
      <c r="M153" s="8" t="s">
        <v>404</v>
      </c>
      <c r="N153" s="8" t="s">
        <v>56</v>
      </c>
      <c r="O153" s="0" t="str">
        <f aca="false">IFERROR(IF(option_sel=0,"",IF(LEN(INDEX(Opt_Overview!$C$7:$M$38,MATCH($A153,Opt_Overview!$A$7:$A$38,0),option_sel))=0,"",INDEX(Opt_Overview!$C$7:$M$38,MATCH($A153,Opt_Overview!$A$7:$A$38,0),option_sel))),"")</f>
        <v/>
      </c>
    </row>
    <row r="154" customFormat="false" ht="15" hidden="false" customHeight="false" outlineLevel="0" collapsed="false">
      <c r="A154" s="0" t="s">
        <v>405</v>
      </c>
      <c r="B154" s="0" t="s">
        <v>287</v>
      </c>
      <c r="C154" s="3" t="n">
        <v>7.4</v>
      </c>
      <c r="D154" s="3" t="n">
        <v>8.6</v>
      </c>
      <c r="E154" s="3" t="n">
        <v>10</v>
      </c>
      <c r="F154" s="3" t="n">
        <v>2</v>
      </c>
      <c r="G154" s="3" t="n">
        <v>2</v>
      </c>
      <c r="H154" s="8" t="n">
        <f aca="false">INDEX(C154:E154,1,CHOOSE(scenario,F154,2,G154))</f>
        <v>8.6</v>
      </c>
      <c r="I154" s="7"/>
      <c r="J154" s="2" t="n">
        <f aca="false">IF(I154&lt;&gt;"",I154,IF(O154&lt;&gt;"",O154,H154))</f>
        <v>8.6</v>
      </c>
      <c r="K154" s="8" t="s">
        <v>62</v>
      </c>
      <c r="L154" s="8" t="s">
        <v>406</v>
      </c>
      <c r="M154" s="8" t="s">
        <v>407</v>
      </c>
      <c r="N154" s="8" t="s">
        <v>56</v>
      </c>
      <c r="O154" s="0" t="str">
        <f aca="false">IFERROR(IF(option_sel=0,"",IF(LEN(INDEX(Opt_Overview!$C$7:$M$38,MATCH($A154,Opt_Overview!$A$7:$A$38,0),option_sel))=0,"",INDEX(Opt_Overview!$C$7:$M$38,MATCH($A154,Opt_Overview!$A$7:$A$38,0),option_sel))),"")</f>
        <v/>
      </c>
    </row>
    <row r="155" customFormat="false" ht="15" hidden="false" customHeight="false" outlineLevel="0" collapsed="false">
      <c r="A155" s="0" t="s">
        <v>408</v>
      </c>
      <c r="B155" s="0" t="s">
        <v>287</v>
      </c>
      <c r="C155" s="3" t="n">
        <v>7.1</v>
      </c>
      <c r="D155" s="3" t="n">
        <v>8.5</v>
      </c>
      <c r="E155" s="3" t="n">
        <v>10</v>
      </c>
      <c r="F155" s="3" t="n">
        <v>2</v>
      </c>
      <c r="G155" s="3" t="n">
        <v>2</v>
      </c>
      <c r="H155" s="8" t="n">
        <f aca="false">INDEX(C155:E155,1,CHOOSE(scenario,F155,2,G155))</f>
        <v>8.5</v>
      </c>
      <c r="I155" s="7"/>
      <c r="J155" s="2" t="n">
        <f aca="false">IF(I155&lt;&gt;"",I155,IF(O155&lt;&gt;"",O155,H155))</f>
        <v>8.5</v>
      </c>
      <c r="K155" s="8" t="s">
        <v>62</v>
      </c>
      <c r="L155" s="8" t="s">
        <v>406</v>
      </c>
      <c r="M155" s="8" t="s">
        <v>409</v>
      </c>
      <c r="N155" s="8" t="s">
        <v>56</v>
      </c>
      <c r="O155" s="0" t="str">
        <f aca="false">IFERROR(IF(option_sel=0,"",IF(LEN(INDEX(Opt_Overview!$C$7:$M$38,MATCH($A155,Opt_Overview!$A$7:$A$38,0),option_sel))=0,"",INDEX(Opt_Overview!$C$7:$M$38,MATCH($A155,Opt_Overview!$A$7:$A$38,0),option_sel))),"")</f>
        <v/>
      </c>
    </row>
    <row r="156" customFormat="false" ht="15" hidden="false" customHeight="false" outlineLevel="0" collapsed="false">
      <c r="A156" s="0" t="s">
        <v>410</v>
      </c>
      <c r="B156" s="0" t="s">
        <v>287</v>
      </c>
      <c r="C156" s="3" t="n">
        <v>15.2</v>
      </c>
      <c r="D156" s="3" t="n">
        <v>17.7</v>
      </c>
      <c r="E156" s="3" t="n">
        <v>19.8</v>
      </c>
      <c r="F156" s="3" t="n">
        <v>2</v>
      </c>
      <c r="G156" s="3" t="n">
        <v>2</v>
      </c>
      <c r="H156" s="8" t="n">
        <f aca="false">INDEX(C156:E156,1,CHOOSE(scenario,F156,2,G156))</f>
        <v>17.7</v>
      </c>
      <c r="I156" s="7"/>
      <c r="J156" s="2" t="n">
        <f aca="false">IF(I156&lt;&gt;"",I156,IF(O156&lt;&gt;"",O156,H156))</f>
        <v>17.7</v>
      </c>
      <c r="K156" s="8" t="s">
        <v>62</v>
      </c>
      <c r="L156" s="8" t="s">
        <v>406</v>
      </c>
      <c r="N156" s="8" t="s">
        <v>56</v>
      </c>
      <c r="O156" s="0" t="str">
        <f aca="false">IFERROR(IF(option_sel=0,"",IF(LEN(INDEX(Opt_Overview!$C$7:$M$38,MATCH($A156,Opt_Overview!$A$7:$A$38,0),option_sel))=0,"",INDEX(Opt_Overview!$C$7:$M$38,MATCH($A156,Opt_Overview!$A$7:$A$38,0),option_sel))),"")</f>
        <v/>
      </c>
    </row>
    <row r="157" customFormat="false" ht="15" hidden="false" customHeight="false" outlineLevel="0" collapsed="false">
      <c r="A157" s="0" t="s">
        <v>411</v>
      </c>
      <c r="B157" s="0" t="s">
        <v>61</v>
      </c>
      <c r="C157" s="3" t="n">
        <v>2</v>
      </c>
      <c r="D157" s="3" t="n">
        <v>2.15</v>
      </c>
      <c r="E157" s="3" t="n">
        <v>2.2</v>
      </c>
      <c r="F157" s="3" t="n">
        <v>2</v>
      </c>
      <c r="G157" s="3" t="n">
        <v>2</v>
      </c>
      <c r="H157" s="8" t="n">
        <f aca="false">INDEX(C157:E157,1,CHOOSE(scenario,F157,2,G157))</f>
        <v>2.15</v>
      </c>
      <c r="I157" s="7"/>
      <c r="J157" s="2" t="n">
        <f aca="false">IF(I157&lt;&gt;"",I157,IF(O157&lt;&gt;"",O157,H157))</f>
        <v>2.15</v>
      </c>
      <c r="K157" s="8" t="s">
        <v>172</v>
      </c>
      <c r="L157" s="8" t="s">
        <v>412</v>
      </c>
      <c r="M157" s="8" t="s">
        <v>413</v>
      </c>
      <c r="N157" s="8" t="s">
        <v>56</v>
      </c>
      <c r="O157" s="0" t="str">
        <f aca="false">IFERROR(IF(option_sel=0,"",IF(LEN(INDEX(Opt_Overview!$C$7:$M$38,MATCH($A157,Opt_Overview!$A$7:$A$38,0),option_sel))=0,"",INDEX(Opt_Overview!$C$7:$M$38,MATCH($A157,Opt_Overview!$A$7:$A$38,0),option_sel))),"")</f>
        <v/>
      </c>
    </row>
    <row r="158" customFormat="false" ht="15" hidden="false" customHeight="false" outlineLevel="0" collapsed="false">
      <c r="A158" s="0" t="s">
        <v>414</v>
      </c>
      <c r="B158" s="0" t="s">
        <v>61</v>
      </c>
      <c r="C158" s="3" t="n">
        <v>1.3</v>
      </c>
      <c r="D158" s="3" t="n">
        <v>1.3</v>
      </c>
      <c r="E158" s="3" t="n">
        <v>1.3</v>
      </c>
      <c r="F158" s="3" t="n">
        <v>2</v>
      </c>
      <c r="G158" s="3" t="n">
        <v>2</v>
      </c>
      <c r="H158" s="8" t="n">
        <f aca="false">INDEX(C158:E158,1,CHOOSE(scenario,F158,2,G158))</f>
        <v>1.3</v>
      </c>
      <c r="I158" s="7"/>
      <c r="J158" s="2" t="n">
        <f aca="false">IF(I158&lt;&gt;"",I158,IF(O158&lt;&gt;"",O158,H158))</f>
        <v>1.3</v>
      </c>
      <c r="K158" s="8" t="s">
        <v>172</v>
      </c>
      <c r="L158" s="8" t="s">
        <v>415</v>
      </c>
      <c r="M158" s="8" t="s">
        <v>416</v>
      </c>
      <c r="N158" s="8" t="s">
        <v>56</v>
      </c>
      <c r="O158" s="0" t="str">
        <f aca="false">IFERROR(IF(option_sel=0,"",IF(LEN(INDEX(Opt_Overview!$C$7:$M$38,MATCH($A158,Opt_Overview!$A$7:$A$38,0),option_sel))=0,"",INDEX(Opt_Overview!$C$7:$M$38,MATCH($A158,Opt_Overview!$A$7:$A$38,0),option_sel))),"")</f>
        <v/>
      </c>
    </row>
    <row r="159" customFormat="false" ht="15" hidden="false" customHeight="false" outlineLevel="0" collapsed="false">
      <c r="A159" s="0" t="s">
        <v>417</v>
      </c>
      <c r="B159" s="0" t="s">
        <v>418</v>
      </c>
      <c r="C159" s="3" t="n">
        <v>25000</v>
      </c>
      <c r="D159" s="3" t="n">
        <v>40500</v>
      </c>
      <c r="E159" s="3" t="n">
        <v>70000</v>
      </c>
      <c r="F159" s="3" t="n">
        <v>2</v>
      </c>
      <c r="G159" s="3" t="n">
        <v>2</v>
      </c>
      <c r="H159" s="8" t="n">
        <f aca="false">INDEX(C159:E159,1,CHOOSE(scenario,F159,2,G159))</f>
        <v>40500</v>
      </c>
      <c r="I159" s="7"/>
      <c r="J159" s="2" t="n">
        <f aca="false">IF(I159&lt;&gt;"",I159,IF(O159&lt;&gt;"",O159,H159))</f>
        <v>40500</v>
      </c>
      <c r="K159" s="8" t="s">
        <v>62</v>
      </c>
      <c r="L159" s="8" t="s">
        <v>272</v>
      </c>
      <c r="M159" s="8" t="s">
        <v>419</v>
      </c>
      <c r="N159" s="8" t="s">
        <v>56</v>
      </c>
      <c r="O159" s="0" t="str">
        <f aca="false">IFERROR(IF(option_sel=0,"",IF(LEN(INDEX(Opt_Overview!$C$7:$M$38,MATCH($A159,Opt_Overview!$A$7:$A$38,0),option_sel))=0,"",INDEX(Opt_Overview!$C$7:$M$38,MATCH($A159,Opt_Overview!$A$7:$A$38,0),option_sel))),"")</f>
        <v/>
      </c>
    </row>
    <row r="160" customFormat="false" ht="15" hidden="false" customHeight="false" outlineLevel="0" collapsed="false">
      <c r="A160" s="0" t="s">
        <v>420</v>
      </c>
      <c r="B160" s="0" t="s">
        <v>82</v>
      </c>
      <c r="C160" s="3" t="n">
        <v>1</v>
      </c>
      <c r="D160" s="3" t="n">
        <v>1.6</v>
      </c>
      <c r="E160" s="3" t="n">
        <v>2.5</v>
      </c>
      <c r="F160" s="3" t="n">
        <v>2</v>
      </c>
      <c r="G160" s="3" t="n">
        <v>2</v>
      </c>
      <c r="H160" s="8" t="n">
        <f aca="false">INDEX(C160:E160,1,CHOOSE(scenario,F160,2,G160))</f>
        <v>1.6</v>
      </c>
      <c r="I160" s="7"/>
      <c r="J160" s="2" t="n">
        <f aca="false">IF(I160&lt;&gt;"",I160,IF(O160&lt;&gt;"",O160,H160))</f>
        <v>1.6</v>
      </c>
      <c r="K160" s="8" t="s">
        <v>53</v>
      </c>
      <c r="L160" s="8" t="s">
        <v>421</v>
      </c>
      <c r="N160" s="8" t="s">
        <v>56</v>
      </c>
      <c r="O160" s="0" t="str">
        <f aca="false">IFERROR(IF(option_sel=0,"",IF(LEN(INDEX(Opt_Overview!$C$7:$M$38,MATCH($A160,Opt_Overview!$A$7:$A$38,0),option_sel))=0,"",INDEX(Opt_Overview!$C$7:$M$38,MATCH($A160,Opt_Overview!$A$7:$A$38,0),option_sel))),"")</f>
        <v/>
      </c>
    </row>
    <row r="161" customFormat="false" ht="15" hidden="false" customHeight="false" outlineLevel="0" collapsed="false">
      <c r="A161" s="0" t="s">
        <v>422</v>
      </c>
      <c r="B161" s="0" t="s">
        <v>82</v>
      </c>
      <c r="C161" s="3" t="n">
        <v>6</v>
      </c>
      <c r="D161" s="3" t="n">
        <v>10</v>
      </c>
      <c r="E161" s="3" t="n">
        <v>15</v>
      </c>
      <c r="F161" s="3" t="n">
        <v>2</v>
      </c>
      <c r="G161" s="3" t="n">
        <v>2</v>
      </c>
      <c r="H161" s="8" t="n">
        <f aca="false">INDEX(C161:E161,1,CHOOSE(scenario,F161,2,G161))</f>
        <v>10</v>
      </c>
      <c r="I161" s="7"/>
      <c r="J161" s="2" t="n">
        <f aca="false">IF(I161&lt;&gt;"",I161,IF(O161&lt;&gt;"",O161,H161))</f>
        <v>10</v>
      </c>
      <c r="K161" s="8" t="s">
        <v>62</v>
      </c>
      <c r="L161" s="8" t="s">
        <v>423</v>
      </c>
      <c r="M161" s="8" t="s">
        <v>424</v>
      </c>
      <c r="N161" s="8" t="s">
        <v>56</v>
      </c>
      <c r="O161" s="0" t="str">
        <f aca="false">IFERROR(IF(option_sel=0,"",IF(LEN(INDEX(Opt_Overview!$C$7:$M$38,MATCH($A161,Opt_Overview!$A$7:$A$38,0),option_sel))=0,"",INDEX(Opt_Overview!$C$7:$M$38,MATCH($A161,Opt_Overview!$A$7:$A$38,0),option_sel))),"")</f>
        <v/>
      </c>
    </row>
    <row r="162" customFormat="false" ht="15" hidden="false" customHeight="false" outlineLevel="0" collapsed="false">
      <c r="A162" s="0" t="s">
        <v>425</v>
      </c>
      <c r="B162" s="0" t="s">
        <v>82</v>
      </c>
      <c r="C162" s="3" t="n">
        <v>8</v>
      </c>
      <c r="D162" s="3" t="n">
        <v>15</v>
      </c>
      <c r="E162" s="3" t="n">
        <v>30</v>
      </c>
      <c r="F162" s="3" t="n">
        <v>2</v>
      </c>
      <c r="G162" s="3" t="n">
        <v>2</v>
      </c>
      <c r="H162" s="8" t="n">
        <f aca="false">INDEX(C162:E162,1,CHOOSE(scenario,F162,2,G162))</f>
        <v>15</v>
      </c>
      <c r="I162" s="7"/>
      <c r="J162" s="2" t="n">
        <f aca="false">IF(I162&lt;&gt;"",I162,IF(O162&lt;&gt;"",O162,H162))</f>
        <v>15</v>
      </c>
      <c r="K162" s="8" t="s">
        <v>53</v>
      </c>
      <c r="L162" s="8" t="s">
        <v>426</v>
      </c>
      <c r="M162" s="8" t="s">
        <v>427</v>
      </c>
      <c r="N162" s="8" t="s">
        <v>56</v>
      </c>
      <c r="O162" s="0" t="str">
        <f aca="false">IFERROR(IF(option_sel=0,"",IF(LEN(INDEX(Opt_Overview!$C$7:$M$38,MATCH($A162,Opt_Overview!$A$7:$A$38,0),option_sel))=0,"",INDEX(Opt_Overview!$C$7:$M$38,MATCH($A162,Opt_Overview!$A$7:$A$38,0),option_sel))),"")</f>
        <v/>
      </c>
    </row>
    <row r="163" customFormat="false" ht="15" hidden="false" customHeight="false" outlineLevel="0" collapsed="false">
      <c r="A163" s="0" t="s">
        <v>428</v>
      </c>
      <c r="B163" s="0" t="s">
        <v>133</v>
      </c>
      <c r="C163" s="3" t="n">
        <v>10</v>
      </c>
      <c r="D163" s="3" t="n">
        <v>12</v>
      </c>
      <c r="E163" s="3" t="n">
        <v>15</v>
      </c>
      <c r="F163" s="3" t="n">
        <v>2</v>
      </c>
      <c r="G163" s="3" t="n">
        <v>2</v>
      </c>
      <c r="H163" s="8" t="n">
        <f aca="false">INDEX(C163:E163,1,CHOOSE(scenario,F163,2,G163))</f>
        <v>12</v>
      </c>
      <c r="I163" s="7"/>
      <c r="J163" s="2" t="n">
        <f aca="false">IF(I163&lt;&gt;"",I163,IF(O163&lt;&gt;"",O163,H163))</f>
        <v>12</v>
      </c>
      <c r="K163" s="8" t="s">
        <v>53</v>
      </c>
      <c r="L163" s="8" t="s">
        <v>134</v>
      </c>
      <c r="N163" s="8" t="s">
        <v>56</v>
      </c>
      <c r="O163" s="0" t="str">
        <f aca="false">IFERROR(IF(option_sel=0,"",IF(LEN(INDEX(Opt_Overview!$C$7:$M$38,MATCH($A163,Opt_Overview!$A$7:$A$38,0),option_sel))=0,"",INDEX(Opt_Overview!$C$7:$M$38,MATCH($A163,Opt_Overview!$A$7:$A$38,0),option_sel))),"")</f>
        <v/>
      </c>
    </row>
    <row r="164" customFormat="false" ht="15" hidden="false" customHeight="false" outlineLevel="0" collapsed="false">
      <c r="A164" s="0" t="s">
        <v>429</v>
      </c>
      <c r="B164" s="0" t="s">
        <v>430</v>
      </c>
      <c r="C164" s="3" t="n">
        <v>-2</v>
      </c>
      <c r="D164" s="3" t="n">
        <v>5</v>
      </c>
      <c r="E164" s="3" t="n">
        <v>15</v>
      </c>
      <c r="F164" s="3" t="n">
        <v>2</v>
      </c>
      <c r="G164" s="3" t="n">
        <v>2</v>
      </c>
      <c r="H164" s="8" t="n">
        <f aca="false">INDEX(C164:E164,1,CHOOSE(scenario,F164,2,G164))</f>
        <v>5</v>
      </c>
      <c r="I164" s="7"/>
      <c r="J164" s="2" t="n">
        <f aca="false">IF(I164&lt;&gt;"",I164,IF(O164&lt;&gt;"",O164,H164))</f>
        <v>5</v>
      </c>
      <c r="K164" s="8" t="s">
        <v>53</v>
      </c>
      <c r="L164" s="8" t="s">
        <v>431</v>
      </c>
      <c r="M164" s="8" t="s">
        <v>432</v>
      </c>
      <c r="N164" s="8" t="s">
        <v>56</v>
      </c>
      <c r="O164" s="0" t="str">
        <f aca="false">IFERROR(IF(option_sel=0,"",IF(LEN(INDEX(Opt_Overview!$C$7:$M$38,MATCH($A164,Opt_Overview!$A$7:$A$38,0),option_sel))=0,"",INDEX(Opt_Overview!$C$7:$M$38,MATCH($A164,Opt_Overview!$A$7:$A$38,0),option_sel))),"")</f>
        <v/>
      </c>
    </row>
    <row r="165" customFormat="false" ht="15" hidden="false" customHeight="false" outlineLevel="0" collapsed="false">
      <c r="A165" s="0" t="s">
        <v>433</v>
      </c>
      <c r="B165" s="0" t="s">
        <v>434</v>
      </c>
      <c r="C165" s="3" t="n">
        <v>50</v>
      </c>
      <c r="D165" s="3" t="n">
        <v>58</v>
      </c>
      <c r="E165" s="3" t="n">
        <v>65</v>
      </c>
      <c r="F165" s="3" t="n">
        <v>2</v>
      </c>
      <c r="G165" s="3" t="n">
        <v>2</v>
      </c>
      <c r="H165" s="8" t="n">
        <f aca="false">INDEX(C165:E165,1,CHOOSE(scenario,F165,2,G165))</f>
        <v>58</v>
      </c>
      <c r="I165" s="7"/>
      <c r="J165" s="2" t="n">
        <f aca="false">IF(I165&lt;&gt;"",I165,IF(O165&lt;&gt;"",O165,H165))</f>
        <v>58</v>
      </c>
      <c r="K165" s="8" t="s">
        <v>62</v>
      </c>
      <c r="L165" s="8" t="s">
        <v>435</v>
      </c>
      <c r="N165" s="8" t="s">
        <v>56</v>
      </c>
      <c r="O165" s="0" t="str">
        <f aca="false">IFERROR(IF(option_sel=0,"",IF(LEN(INDEX(Opt_Overview!$C$7:$M$38,MATCH($A165,Opt_Overview!$A$7:$A$38,0),option_sel))=0,"",INDEX(Opt_Overview!$C$7:$M$38,MATCH($A165,Opt_Overview!$A$7:$A$38,0),option_sel))),"")</f>
        <v/>
      </c>
    </row>
    <row r="166" customFormat="false" ht="15" hidden="false" customHeight="false" outlineLevel="0" collapsed="false">
      <c r="A166" s="0" t="s">
        <v>436</v>
      </c>
      <c r="B166" s="0" t="s">
        <v>434</v>
      </c>
      <c r="C166" s="3" t="n">
        <v>30</v>
      </c>
      <c r="D166" s="3" t="n">
        <v>38</v>
      </c>
      <c r="E166" s="3" t="n">
        <v>45</v>
      </c>
      <c r="F166" s="3" t="n">
        <v>2</v>
      </c>
      <c r="G166" s="3" t="n">
        <v>2</v>
      </c>
      <c r="H166" s="8" t="n">
        <f aca="false">INDEX(C166:E166,1,CHOOSE(scenario,F166,2,G166))</f>
        <v>38</v>
      </c>
      <c r="I166" s="7"/>
      <c r="J166" s="2" t="n">
        <f aca="false">IF(I166&lt;&gt;"",I166,IF(O166&lt;&gt;"",O166,H166))</f>
        <v>38</v>
      </c>
      <c r="K166" s="8" t="s">
        <v>62</v>
      </c>
      <c r="L166" s="8" t="s">
        <v>437</v>
      </c>
      <c r="N166" s="8" t="s">
        <v>56</v>
      </c>
      <c r="O166" s="0" t="str">
        <f aca="false">IFERROR(IF(option_sel=0,"",IF(LEN(INDEX(Opt_Overview!$C$7:$M$38,MATCH($A166,Opt_Overview!$A$7:$A$38,0),option_sel))=0,"",INDEX(Opt_Overview!$C$7:$M$38,MATCH($A166,Opt_Overview!$A$7:$A$38,0),option_sel))),"")</f>
        <v/>
      </c>
    </row>
    <row r="167" customFormat="false" ht="15" hidden="false" customHeight="false" outlineLevel="0" collapsed="false">
      <c r="A167" s="0" t="s">
        <v>438</v>
      </c>
      <c r="B167" s="0" t="s">
        <v>434</v>
      </c>
      <c r="C167" s="3" t="n">
        <v>1</v>
      </c>
      <c r="D167" s="3" t="n">
        <v>3</v>
      </c>
      <c r="E167" s="3" t="n">
        <v>5</v>
      </c>
      <c r="F167" s="3" t="n">
        <v>2</v>
      </c>
      <c r="G167" s="3" t="n">
        <v>2</v>
      </c>
      <c r="H167" s="8" t="n">
        <f aca="false">INDEX(C167:E167,1,CHOOSE(scenario,F167,2,G167))</f>
        <v>3</v>
      </c>
      <c r="I167" s="7"/>
      <c r="J167" s="2" t="n">
        <f aca="false">IF(I167&lt;&gt;"",I167,IF(O167&lt;&gt;"",O167,H167))</f>
        <v>3</v>
      </c>
      <c r="K167" s="8" t="s">
        <v>53</v>
      </c>
      <c r="L167" s="8" t="s">
        <v>439</v>
      </c>
      <c r="N167" s="8" t="s">
        <v>56</v>
      </c>
      <c r="O167" s="0" t="str">
        <f aca="false">IFERROR(IF(option_sel=0,"",IF(LEN(INDEX(Opt_Overview!$C$7:$M$38,MATCH($A167,Opt_Overview!$A$7:$A$38,0),option_sel))=0,"",INDEX(Opt_Overview!$C$7:$M$38,MATCH($A167,Opt_Overview!$A$7:$A$38,0),option_sel))),"")</f>
        <v/>
      </c>
    </row>
    <row r="168" customFormat="false" ht="15" hidden="false" customHeight="false" outlineLevel="0" collapsed="false">
      <c r="A168" s="0" t="s">
        <v>440</v>
      </c>
      <c r="B168" s="0" t="s">
        <v>434</v>
      </c>
      <c r="C168" s="3" t="n">
        <v>0.5</v>
      </c>
      <c r="D168" s="3" t="n">
        <v>1</v>
      </c>
      <c r="E168" s="3" t="n">
        <v>2</v>
      </c>
      <c r="F168" s="3" t="n">
        <v>2</v>
      </c>
      <c r="G168" s="3" t="n">
        <v>2</v>
      </c>
      <c r="H168" s="8" t="n">
        <f aca="false">INDEX(C168:E168,1,CHOOSE(scenario,F168,2,G168))</f>
        <v>1</v>
      </c>
      <c r="I168" s="7"/>
      <c r="J168" s="2" t="n">
        <f aca="false">IF(I168&lt;&gt;"",I168,IF(O168&lt;&gt;"",O168,H168))</f>
        <v>1</v>
      </c>
      <c r="K168" s="8" t="s">
        <v>53</v>
      </c>
      <c r="L168" s="8" t="s">
        <v>441</v>
      </c>
      <c r="N168" s="8" t="s">
        <v>56</v>
      </c>
      <c r="O168" s="0" t="str">
        <f aca="false">IFERROR(IF(option_sel=0,"",IF(LEN(INDEX(Opt_Overview!$C$7:$M$38,MATCH($A168,Opt_Overview!$A$7:$A$38,0),option_sel))=0,"",INDEX(Opt_Overview!$C$7:$M$38,MATCH($A168,Opt_Overview!$A$7:$A$38,0),option_sel))),"")</f>
        <v/>
      </c>
    </row>
    <row r="169" customFormat="false" ht="15" hidden="false" customHeight="false" outlineLevel="0" collapsed="false">
      <c r="A169" s="0" t="s">
        <v>442</v>
      </c>
      <c r="B169" s="0" t="s">
        <v>197</v>
      </c>
      <c r="C169" s="3" t="n">
        <v>14.2</v>
      </c>
      <c r="D169" s="3" t="n">
        <v>24.5</v>
      </c>
      <c r="E169" s="3" t="n">
        <v>45.5</v>
      </c>
      <c r="F169" s="3" t="n">
        <v>2</v>
      </c>
      <c r="G169" s="3" t="n">
        <v>2</v>
      </c>
      <c r="H169" s="8" t="n">
        <f aca="false">INDEX(C169:E169,1,CHOOSE(scenario,F169,2,G169))</f>
        <v>24.5</v>
      </c>
      <c r="I169" s="7"/>
      <c r="J169" s="2" t="n">
        <f aca="false">IF(I169&lt;&gt;"",I169,IF(O169&lt;&gt;"",O169,H169))</f>
        <v>24.5</v>
      </c>
      <c r="K169" s="8" t="s">
        <v>62</v>
      </c>
      <c r="L169" s="8" t="s">
        <v>272</v>
      </c>
      <c r="M169" s="8" t="s">
        <v>443</v>
      </c>
      <c r="N169" s="8" t="s">
        <v>56</v>
      </c>
      <c r="O169" s="0" t="str">
        <f aca="false">IFERROR(IF(option_sel=0,"",IF(LEN(INDEX(Opt_Overview!$C$7:$M$38,MATCH($A169,Opt_Overview!$A$7:$A$38,0),option_sel))=0,"",INDEX(Opt_Overview!$C$7:$M$38,MATCH($A169,Opt_Overview!$A$7:$A$38,0),option_sel))),"")</f>
        <v/>
      </c>
    </row>
    <row r="170" customFormat="false" ht="15" hidden="false" customHeight="false" outlineLevel="0" collapsed="false">
      <c r="A170" s="0" t="s">
        <v>444</v>
      </c>
      <c r="B170" s="0" t="s">
        <v>197</v>
      </c>
      <c r="C170" s="3" t="n">
        <v>0</v>
      </c>
      <c r="D170" s="3" t="n">
        <v>3</v>
      </c>
      <c r="E170" s="3" t="n">
        <v>8</v>
      </c>
      <c r="F170" s="3" t="n">
        <v>2</v>
      </c>
      <c r="G170" s="3" t="n">
        <v>2</v>
      </c>
      <c r="H170" s="8" t="n">
        <f aca="false">INDEX(C170:E170,1,CHOOSE(scenario,F170,2,G170))</f>
        <v>3</v>
      </c>
      <c r="I170" s="7"/>
      <c r="J170" s="2" t="n">
        <f aca="false">IF(I170&lt;&gt;"",I170,IF(O170&lt;&gt;"",O170,H170))</f>
        <v>3</v>
      </c>
      <c r="K170" s="8" t="s">
        <v>53</v>
      </c>
      <c r="L170" s="8" t="s">
        <v>445</v>
      </c>
      <c r="M170" s="8" t="s">
        <v>446</v>
      </c>
      <c r="N170" s="8" t="s">
        <v>56</v>
      </c>
      <c r="O170" s="0" t="str">
        <f aca="false">IFERROR(IF(option_sel=0,"",IF(LEN(INDEX(Opt_Overview!$C$7:$M$38,MATCH($A170,Opt_Overview!$A$7:$A$38,0),option_sel))=0,"",INDEX(Opt_Overview!$C$7:$M$38,MATCH($A170,Opt_Overview!$A$7:$A$38,0),option_sel))),"")</f>
        <v/>
      </c>
    </row>
    <row r="171" customFormat="false" ht="15" hidden="false" customHeight="false" outlineLevel="0" collapsed="false">
      <c r="A171" s="0" t="s">
        <v>447</v>
      </c>
      <c r="B171" s="0" t="s">
        <v>197</v>
      </c>
      <c r="C171" s="3" t="n">
        <v>100</v>
      </c>
      <c r="D171" s="3" t="n">
        <v>150</v>
      </c>
      <c r="E171" s="3" t="n">
        <v>220</v>
      </c>
      <c r="F171" s="3" t="n">
        <v>2</v>
      </c>
      <c r="G171" s="3" t="n">
        <v>2</v>
      </c>
      <c r="H171" s="8" t="n">
        <f aca="false">INDEX(C171:E171,1,CHOOSE(scenario,F171,2,G171))</f>
        <v>150</v>
      </c>
      <c r="I171" s="7"/>
      <c r="J171" s="2" t="n">
        <f aca="false">IF(I171&lt;&gt;"",I171,IF(O171&lt;&gt;"",O171,H171))</f>
        <v>150</v>
      </c>
      <c r="K171" s="8" t="s">
        <v>62</v>
      </c>
      <c r="L171" s="8" t="s">
        <v>448</v>
      </c>
      <c r="M171" s="8" t="s">
        <v>449</v>
      </c>
      <c r="N171" s="8" t="s">
        <v>56</v>
      </c>
      <c r="O171" s="0" t="str">
        <f aca="false">IFERROR(IF(option_sel=0,"",IF(LEN(INDEX(Opt_Overview!$C$7:$M$38,MATCH($A171,Opt_Overview!$A$7:$A$38,0),option_sel))=0,"",INDEX(Opt_Overview!$C$7:$M$38,MATCH($A171,Opt_Overview!$A$7:$A$38,0),option_sel))),"")</f>
        <v/>
      </c>
    </row>
    <row r="172" customFormat="false" ht="15" hidden="false" customHeight="false" outlineLevel="0" collapsed="false">
      <c r="A172" s="0" t="s">
        <v>450</v>
      </c>
      <c r="B172" s="0" t="s">
        <v>197</v>
      </c>
      <c r="C172" s="3" t="n">
        <v>90</v>
      </c>
      <c r="D172" s="3" t="n">
        <v>120</v>
      </c>
      <c r="E172" s="3" t="n">
        <v>160</v>
      </c>
      <c r="F172" s="3" t="n">
        <v>2</v>
      </c>
      <c r="G172" s="3" t="n">
        <v>2</v>
      </c>
      <c r="H172" s="8" t="n">
        <f aca="false">INDEX(C172:E172,1,CHOOSE(scenario,F172,2,G172))</f>
        <v>120</v>
      </c>
      <c r="I172" s="7"/>
      <c r="J172" s="2" t="n">
        <f aca="false">IF(I172&lt;&gt;"",I172,IF(O172&lt;&gt;"",O172,H172))</f>
        <v>120</v>
      </c>
      <c r="K172" s="8" t="s">
        <v>53</v>
      </c>
      <c r="L172" s="8" t="s">
        <v>451</v>
      </c>
      <c r="M172" s="8" t="s">
        <v>452</v>
      </c>
      <c r="N172" s="8" t="s">
        <v>56</v>
      </c>
      <c r="O172" s="0" t="str">
        <f aca="false">IFERROR(IF(option_sel=0,"",IF(LEN(INDEX(Opt_Overview!$C$7:$M$38,MATCH($A172,Opt_Overview!$A$7:$A$38,0),option_sel))=0,"",INDEX(Opt_Overview!$C$7:$M$38,MATCH($A172,Opt_Overview!$A$7:$A$38,0),option_sel))),"")</f>
        <v/>
      </c>
    </row>
    <row r="173" customFormat="false" ht="15" hidden="false" customHeight="false" outlineLevel="0" collapsed="false">
      <c r="A173" s="0" t="s">
        <v>453</v>
      </c>
      <c r="B173" s="0" t="s">
        <v>454</v>
      </c>
      <c r="C173" s="3" t="n">
        <v>0.15</v>
      </c>
      <c r="D173" s="3" t="n">
        <v>0.3</v>
      </c>
      <c r="E173" s="3" t="n">
        <v>0.6</v>
      </c>
      <c r="F173" s="3" t="n">
        <v>2</v>
      </c>
      <c r="G173" s="3" t="n">
        <v>2</v>
      </c>
      <c r="H173" s="8" t="n">
        <f aca="false">INDEX(C173:E173,1,CHOOSE(scenario,F173,2,G173))</f>
        <v>0.3</v>
      </c>
      <c r="I173" s="7"/>
      <c r="J173" s="2" t="n">
        <f aca="false">IF(I173&lt;&gt;"",I173,IF(O173&lt;&gt;"",O173,H173))</f>
        <v>0.3</v>
      </c>
      <c r="K173" s="8" t="s">
        <v>62</v>
      </c>
      <c r="L173" s="8" t="s">
        <v>455</v>
      </c>
      <c r="N173" s="8" t="s">
        <v>56</v>
      </c>
      <c r="O173" s="0" t="str">
        <f aca="false">IFERROR(IF(option_sel=0,"",IF(LEN(INDEX(Opt_Overview!$C$7:$M$38,MATCH($A173,Opt_Overview!$A$7:$A$38,0),option_sel))=0,"",INDEX(Opt_Overview!$C$7:$M$38,MATCH($A173,Opt_Overview!$A$7:$A$38,0),option_sel))),"")</f>
        <v/>
      </c>
    </row>
    <row r="174" customFormat="false" ht="15" hidden="false" customHeight="false" outlineLevel="0" collapsed="false">
      <c r="A174" s="0" t="s">
        <v>456</v>
      </c>
      <c r="B174" s="0" t="s">
        <v>197</v>
      </c>
      <c r="C174" s="3" t="n">
        <v>0.2</v>
      </c>
      <c r="D174" s="3" t="n">
        <v>0.4</v>
      </c>
      <c r="E174" s="3" t="n">
        <v>0.8</v>
      </c>
      <c r="F174" s="3" t="n">
        <v>2</v>
      </c>
      <c r="G174" s="3" t="n">
        <v>2</v>
      </c>
      <c r="H174" s="8" t="n">
        <f aca="false">INDEX(C174:E174,1,CHOOSE(scenario,F174,2,G174))</f>
        <v>0.4</v>
      </c>
      <c r="I174" s="7"/>
      <c r="J174" s="2" t="n">
        <f aca="false">IF(I174&lt;&gt;"",I174,IF(O174&lt;&gt;"",O174,H174))</f>
        <v>0.4</v>
      </c>
      <c r="K174" s="8" t="s">
        <v>53</v>
      </c>
      <c r="L174" s="8" t="s">
        <v>457</v>
      </c>
      <c r="N174" s="8" t="s">
        <v>56</v>
      </c>
      <c r="O174" s="0" t="str">
        <f aca="false">IFERROR(IF(option_sel=0,"",IF(LEN(INDEX(Opt_Overview!$C$7:$M$38,MATCH($A174,Opt_Overview!$A$7:$A$38,0),option_sel))=0,"",INDEX(Opt_Overview!$C$7:$M$38,MATCH($A174,Opt_Overview!$A$7:$A$38,0),option_sel))),"")</f>
        <v/>
      </c>
    </row>
    <row r="175" customFormat="false" ht="15" hidden="false" customHeight="false" outlineLevel="0" collapsed="false">
      <c r="A175" s="0" t="s">
        <v>458</v>
      </c>
      <c r="B175" s="0" t="s">
        <v>313</v>
      </c>
      <c r="C175" s="3" t="n">
        <v>2</v>
      </c>
      <c r="D175" s="3" t="n">
        <v>3</v>
      </c>
      <c r="E175" s="3" t="n">
        <v>4</v>
      </c>
      <c r="F175" s="3" t="n">
        <v>2</v>
      </c>
      <c r="G175" s="3" t="n">
        <v>2</v>
      </c>
      <c r="H175" s="8" t="n">
        <f aca="false">INDEX(C175:E175,1,CHOOSE(scenario,F175,2,G175))</f>
        <v>3</v>
      </c>
      <c r="I175" s="7"/>
      <c r="J175" s="2" t="n">
        <f aca="false">IF(I175&lt;&gt;"",I175,IF(O175&lt;&gt;"",O175,H175))</f>
        <v>3</v>
      </c>
      <c r="K175" s="8" t="s">
        <v>53</v>
      </c>
      <c r="L175" s="8" t="s">
        <v>459</v>
      </c>
      <c r="N175" s="8" t="s">
        <v>56</v>
      </c>
      <c r="O175" s="0" t="str">
        <f aca="false">IFERROR(IF(option_sel=0,"",IF(LEN(INDEX(Opt_Overview!$C$7:$M$38,MATCH($A175,Opt_Overview!$A$7:$A$38,0),option_sel))=0,"",INDEX(Opt_Overview!$C$7:$M$38,MATCH($A175,Opt_Overview!$A$7:$A$38,0),option_sel))),"")</f>
        <v/>
      </c>
    </row>
    <row r="176" customFormat="false" ht="15" hidden="false" customHeight="false" outlineLevel="0" collapsed="false">
      <c r="A176" s="0" t="s">
        <v>460</v>
      </c>
      <c r="B176" s="0" t="s">
        <v>58</v>
      </c>
      <c r="C176" s="3" t="n">
        <v>2</v>
      </c>
      <c r="D176" s="3" t="n">
        <v>3</v>
      </c>
      <c r="E176" s="3" t="n">
        <v>5</v>
      </c>
      <c r="F176" s="3" t="n">
        <v>2</v>
      </c>
      <c r="G176" s="3" t="n">
        <v>2</v>
      </c>
      <c r="H176" s="8" t="n">
        <f aca="false">INDEX(C176:E176,1,CHOOSE(scenario,F176,2,G176))</f>
        <v>3</v>
      </c>
      <c r="I176" s="7"/>
      <c r="J176" s="2" t="n">
        <f aca="false">IF(I176&lt;&gt;"",I176,IF(O176&lt;&gt;"",O176,H176))</f>
        <v>3</v>
      </c>
      <c r="K176" s="8" t="s">
        <v>53</v>
      </c>
      <c r="L176" s="8" t="s">
        <v>459</v>
      </c>
      <c r="N176" s="8" t="s">
        <v>56</v>
      </c>
      <c r="O176" s="0" t="str">
        <f aca="false">IFERROR(IF(option_sel=0,"",IF(LEN(INDEX(Opt_Overview!$C$7:$M$38,MATCH($A176,Opt_Overview!$A$7:$A$38,0),option_sel))=0,"",INDEX(Opt_Overview!$C$7:$M$38,MATCH($A176,Opt_Overview!$A$7:$A$38,0),option_sel))),"")</f>
        <v/>
      </c>
    </row>
    <row r="177" customFormat="false" ht="15" hidden="false" customHeight="false" outlineLevel="0" collapsed="false">
      <c r="A177" s="0" t="s">
        <v>461</v>
      </c>
      <c r="B177" s="0" t="s">
        <v>317</v>
      </c>
      <c r="C177" s="3" t="n">
        <v>15000</v>
      </c>
      <c r="D177" s="3" t="n">
        <v>25000</v>
      </c>
      <c r="E177" s="3" t="n">
        <v>40000</v>
      </c>
      <c r="F177" s="3" t="n">
        <v>2</v>
      </c>
      <c r="G177" s="3" t="n">
        <v>2</v>
      </c>
      <c r="H177" s="8" t="n">
        <f aca="false">INDEX(C177:E177,1,CHOOSE(scenario,F177,2,G177))</f>
        <v>25000</v>
      </c>
      <c r="I177" s="7"/>
      <c r="J177" s="2" t="n">
        <f aca="false">IF(I177&lt;&gt;"",I177,IF(O177&lt;&gt;"",O177,H177))</f>
        <v>25000</v>
      </c>
      <c r="K177" s="8" t="s">
        <v>53</v>
      </c>
      <c r="L177" s="8" t="s">
        <v>459</v>
      </c>
      <c r="M177" s="8" t="s">
        <v>462</v>
      </c>
      <c r="N177" s="8" t="s">
        <v>56</v>
      </c>
      <c r="O177" s="0" t="str">
        <f aca="false">IFERROR(IF(option_sel=0,"",IF(LEN(INDEX(Opt_Overview!$C$7:$M$38,MATCH($A177,Opt_Overview!$A$7:$A$38,0),option_sel))=0,"",INDEX(Opt_Overview!$C$7:$M$38,MATCH($A177,Opt_Overview!$A$7:$A$38,0),option_sel))),"")</f>
        <v/>
      </c>
    </row>
    <row r="178" customFormat="false" ht="15" hidden="false" customHeight="false" outlineLevel="0" collapsed="false">
      <c r="A178" s="0" t="s">
        <v>463</v>
      </c>
      <c r="B178" s="0" t="s">
        <v>334</v>
      </c>
      <c r="C178" s="3" t="n">
        <v>5000</v>
      </c>
      <c r="D178" s="3" t="n">
        <v>10000</v>
      </c>
      <c r="E178" s="3" t="n">
        <v>20000</v>
      </c>
      <c r="F178" s="3" t="n">
        <v>2</v>
      </c>
      <c r="G178" s="3" t="n">
        <v>2</v>
      </c>
      <c r="H178" s="8" t="n">
        <f aca="false">INDEX(C178:E178,1,CHOOSE(scenario,F178,2,G178))</f>
        <v>10000</v>
      </c>
      <c r="I178" s="7"/>
      <c r="J178" s="2" t="n">
        <f aca="false">IF(I178&lt;&gt;"",I178,IF(O178&lt;&gt;"",O178,H178))</f>
        <v>10000</v>
      </c>
      <c r="K178" s="8" t="s">
        <v>53</v>
      </c>
      <c r="L178" s="8" t="s">
        <v>459</v>
      </c>
      <c r="N178" s="8" t="s">
        <v>56</v>
      </c>
      <c r="O178" s="0" t="str">
        <f aca="false">IFERROR(IF(option_sel=0,"",IF(LEN(INDEX(Opt_Overview!$C$7:$M$38,MATCH($A178,Opt_Overview!$A$7:$A$38,0),option_sel))=0,"",INDEX(Opt_Overview!$C$7:$M$38,MATCH($A178,Opt_Overview!$A$7:$A$38,0),option_sel))),"")</f>
        <v/>
      </c>
    </row>
    <row r="179" customFormat="false" ht="15" hidden="false" customHeight="false" outlineLevel="0" collapsed="false">
      <c r="A179" s="0" t="s">
        <v>464</v>
      </c>
      <c r="B179" s="0" t="s">
        <v>465</v>
      </c>
      <c r="C179" s="3" t="n">
        <v>9</v>
      </c>
      <c r="D179" s="3" t="n">
        <v>18</v>
      </c>
      <c r="E179" s="3" t="n">
        <v>36</v>
      </c>
      <c r="F179" s="3" t="n">
        <v>2</v>
      </c>
      <c r="G179" s="3" t="n">
        <v>2</v>
      </c>
      <c r="H179" s="8" t="n">
        <f aca="false">INDEX(C179:E179,1,CHOOSE(scenario,F179,2,G179))</f>
        <v>18</v>
      </c>
      <c r="I179" s="7"/>
      <c r="J179" s="2" t="n">
        <f aca="false">IF(I179&lt;&gt;"",I179,IF(O179&lt;&gt;"",O179,H179))</f>
        <v>18</v>
      </c>
      <c r="K179" s="8" t="s">
        <v>53</v>
      </c>
      <c r="L179" s="8" t="s">
        <v>466</v>
      </c>
      <c r="N179" s="8" t="s">
        <v>56</v>
      </c>
      <c r="O179" s="0" t="str">
        <f aca="false">IFERROR(IF(option_sel=0,"",IF(LEN(INDEX(Opt_Overview!$C$7:$M$38,MATCH($A179,Opt_Overview!$A$7:$A$38,0),option_sel))=0,"",INDEX(Opt_Overview!$C$7:$M$38,MATCH($A179,Opt_Overview!$A$7:$A$38,0),option_sel))),"")</f>
        <v/>
      </c>
    </row>
    <row r="180" customFormat="false" ht="15" hidden="false" customHeight="false" outlineLevel="0" collapsed="false">
      <c r="A180" s="9" t="s">
        <v>467</v>
      </c>
    </row>
    <row r="181" customFormat="false" ht="15" hidden="false" customHeight="false" outlineLevel="0" collapsed="false">
      <c r="A181" s="0" t="s">
        <v>468</v>
      </c>
      <c r="B181" s="0" t="s">
        <v>72</v>
      </c>
      <c r="C181" s="3" t="n">
        <v>0</v>
      </c>
      <c r="D181" s="3" t="n">
        <v>0</v>
      </c>
      <c r="E181" s="3" t="n">
        <v>0</v>
      </c>
      <c r="F181" s="3" t="n">
        <v>2</v>
      </c>
      <c r="G181" s="3" t="n">
        <v>2</v>
      </c>
      <c r="H181" s="8" t="n">
        <f aca="false">INDEX(C181:E181,1,CHOOSE(scenario,F181,2,G181))</f>
        <v>0</v>
      </c>
      <c r="I181" s="7"/>
      <c r="J181" s="2" t="n">
        <f aca="false">IF(I181&lt;&gt;"",I181,IF(O181&lt;&gt;"",O181,H181))</f>
        <v>0</v>
      </c>
      <c r="K181" s="8" t="s">
        <v>469</v>
      </c>
      <c r="L181" s="8" t="s">
        <v>470</v>
      </c>
      <c r="M181" s="8" t="s">
        <v>471</v>
      </c>
      <c r="N181" s="8" t="s">
        <v>56</v>
      </c>
      <c r="O181" s="0" t="str">
        <f aca="false">IFERROR(IF(option_sel=0,"",IF(LEN(INDEX(Opt_Overview!$C$7:$M$38,MATCH($A181,Opt_Overview!$A$7:$A$38,0),option_sel))=0,"",INDEX(Opt_Overview!$C$7:$M$38,MATCH($A181,Opt_Overview!$A$7:$A$38,0),option_sel))),"")</f>
        <v/>
      </c>
    </row>
    <row r="182" customFormat="false" ht="15" hidden="false" customHeight="false" outlineLevel="0" collapsed="false">
      <c r="A182" s="0" t="s">
        <v>472</v>
      </c>
      <c r="B182" s="0" t="s">
        <v>317</v>
      </c>
      <c r="C182" s="3" t="n">
        <v>0</v>
      </c>
      <c r="D182" s="3" t="n">
        <v>0</v>
      </c>
      <c r="E182" s="3" t="n">
        <v>0</v>
      </c>
      <c r="F182" s="3" t="n">
        <v>2</v>
      </c>
      <c r="G182" s="3" t="n">
        <v>2</v>
      </c>
      <c r="H182" s="8" t="n">
        <f aca="false">INDEX(C182:E182,1,CHOOSE(scenario,F182,2,G182))</f>
        <v>0</v>
      </c>
      <c r="I182" s="7"/>
      <c r="J182" s="2" t="n">
        <f aca="false">IF(I182&lt;&gt;"",I182,IF(O182&lt;&gt;"",O182,H182))</f>
        <v>0</v>
      </c>
      <c r="K182" s="8" t="s">
        <v>469</v>
      </c>
      <c r="L182" s="8" t="s">
        <v>470</v>
      </c>
      <c r="M182" s="8" t="s">
        <v>473</v>
      </c>
      <c r="N182" s="8" t="s">
        <v>56</v>
      </c>
      <c r="O182" s="0" t="str">
        <f aca="false">IFERROR(IF(option_sel=0,"",IF(LEN(INDEX(Opt_Overview!$C$7:$M$38,MATCH($A182,Opt_Overview!$A$7:$A$38,0),option_sel))=0,"",INDEX(Opt_Overview!$C$7:$M$38,MATCH($A182,Opt_Overview!$A$7:$A$38,0),option_sel))),"")</f>
        <v/>
      </c>
    </row>
    <row r="183" customFormat="false" ht="15" hidden="false" customHeight="false" outlineLevel="0" collapsed="false">
      <c r="A183" s="0" t="s">
        <v>474</v>
      </c>
      <c r="B183" s="0" t="s">
        <v>317</v>
      </c>
      <c r="C183" s="3" t="n">
        <v>0</v>
      </c>
      <c r="D183" s="3" t="n">
        <v>0</v>
      </c>
      <c r="E183" s="3" t="n">
        <v>0</v>
      </c>
      <c r="F183" s="3" t="n">
        <v>2</v>
      </c>
      <c r="G183" s="3" t="n">
        <v>2</v>
      </c>
      <c r="H183" s="8" t="n">
        <f aca="false">INDEX(C183:E183,1,CHOOSE(scenario,F183,2,G183))</f>
        <v>0</v>
      </c>
      <c r="I183" s="7"/>
      <c r="J183" s="2" t="n">
        <f aca="false">IF(I183&lt;&gt;"",I183,IF(O183&lt;&gt;"",O183,H183))</f>
        <v>0</v>
      </c>
      <c r="K183" s="8" t="s">
        <v>469</v>
      </c>
      <c r="L183" s="8" t="s">
        <v>470</v>
      </c>
      <c r="M183" s="8" t="s">
        <v>475</v>
      </c>
      <c r="N183" s="8" t="s">
        <v>56</v>
      </c>
      <c r="O183" s="0" t="str">
        <f aca="false">IFERROR(IF(option_sel=0,"",IF(LEN(INDEX(Opt_Overview!$C$7:$M$38,MATCH($A183,Opt_Overview!$A$7:$A$38,0),option_sel))=0,"",INDEX(Opt_Overview!$C$7:$M$38,MATCH($A183,Opt_Overview!$A$7:$A$38,0),option_sel))),"")</f>
        <v/>
      </c>
    </row>
    <row r="184" customFormat="false" ht="15" hidden="false" customHeight="false" outlineLevel="0" collapsed="false">
      <c r="A184" s="0" t="s">
        <v>476</v>
      </c>
      <c r="B184" s="0" t="s">
        <v>287</v>
      </c>
      <c r="C184" s="3" t="n">
        <v>0</v>
      </c>
      <c r="D184" s="3" t="n">
        <v>0</v>
      </c>
      <c r="E184" s="3" t="n">
        <v>0</v>
      </c>
      <c r="F184" s="3" t="n">
        <v>2</v>
      </c>
      <c r="G184" s="3" t="n">
        <v>2</v>
      </c>
      <c r="H184" s="8" t="n">
        <f aca="false">INDEX(C184:E184,1,CHOOSE(scenario,F184,2,G184))</f>
        <v>0</v>
      </c>
      <c r="I184" s="7"/>
      <c r="J184" s="2" t="n">
        <f aca="false">IF(I184&lt;&gt;"",I184,IF(O184&lt;&gt;"",O184,H184))</f>
        <v>0</v>
      </c>
      <c r="K184" s="8" t="s">
        <v>469</v>
      </c>
      <c r="L184" s="8" t="s">
        <v>470</v>
      </c>
      <c r="M184" s="8" t="s">
        <v>477</v>
      </c>
      <c r="N184" s="8" t="s">
        <v>56</v>
      </c>
      <c r="O184" s="0" t="str">
        <f aca="false">IFERROR(IF(option_sel=0,"",IF(LEN(INDEX(Opt_Overview!$C$7:$M$38,MATCH($A184,Opt_Overview!$A$7:$A$38,0),option_sel))=0,"",INDEX(Opt_Overview!$C$7:$M$38,MATCH($A184,Opt_Overview!$A$7:$A$38,0),option_sel))),"")</f>
        <v/>
      </c>
    </row>
    <row r="185" customFormat="false" ht="15" hidden="false" customHeight="false" outlineLevel="0" collapsed="false">
      <c r="A185" s="0" t="s">
        <v>478</v>
      </c>
      <c r="B185" s="0" t="s">
        <v>287</v>
      </c>
      <c r="C185" s="3" t="n">
        <v>0</v>
      </c>
      <c r="D185" s="3" t="n">
        <v>0</v>
      </c>
      <c r="E185" s="3" t="n">
        <v>0</v>
      </c>
      <c r="F185" s="3" t="n">
        <v>2</v>
      </c>
      <c r="G185" s="3" t="n">
        <v>2</v>
      </c>
      <c r="H185" s="8" t="n">
        <f aca="false">INDEX(C185:E185,1,CHOOSE(scenario,F185,2,G185))</f>
        <v>0</v>
      </c>
      <c r="I185" s="7"/>
      <c r="J185" s="2" t="n">
        <f aca="false">IF(I185&lt;&gt;"",I185,IF(O185&lt;&gt;"",O185,H185))</f>
        <v>0</v>
      </c>
      <c r="K185" s="8" t="s">
        <v>469</v>
      </c>
      <c r="L185" s="8" t="s">
        <v>470</v>
      </c>
      <c r="M185" s="8" t="s">
        <v>479</v>
      </c>
      <c r="N185" s="8" t="s">
        <v>56</v>
      </c>
      <c r="O185" s="0" t="str">
        <f aca="false">IFERROR(IF(option_sel=0,"",IF(LEN(INDEX(Opt_Overview!$C$7:$M$38,MATCH($A185,Opt_Overview!$A$7:$A$38,0),option_sel))=0,"",INDEX(Opt_Overview!$C$7:$M$38,MATCH($A185,Opt_Overview!$A$7:$A$38,0),option_sel))),"")</f>
        <v/>
      </c>
    </row>
    <row r="186" customFormat="false" ht="15" hidden="false" customHeight="false" outlineLevel="0" collapsed="false">
      <c r="A186" s="0" t="s">
        <v>480</v>
      </c>
      <c r="B186" s="0" t="s">
        <v>133</v>
      </c>
      <c r="C186" s="3" t="n">
        <v>0</v>
      </c>
      <c r="D186" s="3" t="n">
        <v>0</v>
      </c>
      <c r="E186" s="3" t="n">
        <v>0</v>
      </c>
      <c r="F186" s="3" t="n">
        <v>2</v>
      </c>
      <c r="G186" s="3" t="n">
        <v>2</v>
      </c>
      <c r="H186" s="8" t="n">
        <f aca="false">INDEX(C186:E186,1,CHOOSE(scenario,F186,2,G186))</f>
        <v>0</v>
      </c>
      <c r="I186" s="7"/>
      <c r="J186" s="2" t="n">
        <f aca="false">IF(I186&lt;&gt;"",I186,IF(O186&lt;&gt;"",O186,H186))</f>
        <v>0</v>
      </c>
      <c r="K186" s="8" t="s">
        <v>469</v>
      </c>
      <c r="L186" s="8" t="s">
        <v>470</v>
      </c>
      <c r="M186" s="8" t="s">
        <v>481</v>
      </c>
      <c r="N186" s="8" t="s">
        <v>56</v>
      </c>
      <c r="O186" s="0" t="str">
        <f aca="false">IFERROR(IF(option_sel=0,"",IF(LEN(INDEX(Opt_Overview!$C$7:$M$38,MATCH($A186,Opt_Overview!$A$7:$A$38,0),option_sel))=0,"",INDEX(Opt_Overview!$C$7:$M$38,MATCH($A186,Opt_Overview!$A$7:$A$38,0),option_sel))),"")</f>
        <v/>
      </c>
    </row>
    <row r="187" customFormat="false" ht="15" hidden="false" customHeight="false" outlineLevel="0" collapsed="false">
      <c r="A187" s="0" t="s">
        <v>482</v>
      </c>
      <c r="B187" s="0" t="s">
        <v>483</v>
      </c>
      <c r="C187" s="3" t="n">
        <v>0</v>
      </c>
      <c r="D187" s="3" t="n">
        <v>0</v>
      </c>
      <c r="E187" s="3" t="n">
        <v>0</v>
      </c>
      <c r="F187" s="3" t="n">
        <v>2</v>
      </c>
      <c r="G187" s="3" t="n">
        <v>2</v>
      </c>
      <c r="H187" s="8" t="n">
        <f aca="false">INDEX(C187:E187,1,CHOOSE(scenario,F187,2,G187))</f>
        <v>0</v>
      </c>
      <c r="I187" s="7"/>
      <c r="J187" s="2" t="n">
        <f aca="false">IF(I187&lt;&gt;"",I187,IF(O187&lt;&gt;"",O187,H187))</f>
        <v>0</v>
      </c>
      <c r="K187" s="8" t="s">
        <v>469</v>
      </c>
      <c r="L187" s="8" t="s">
        <v>470</v>
      </c>
      <c r="M187" s="8" t="s">
        <v>484</v>
      </c>
      <c r="N187" s="8" t="s">
        <v>56</v>
      </c>
      <c r="O187" s="0" t="str">
        <f aca="false">IFERROR(IF(option_sel=0,"",IF(LEN(INDEX(Opt_Overview!$C$7:$M$38,MATCH($A187,Opt_Overview!$A$7:$A$38,0),option_sel))=0,"",INDEX(Opt_Overview!$C$7:$M$38,MATCH($A187,Opt_Overview!$A$7:$A$38,0),option_sel))),"")</f>
        <v/>
      </c>
    </row>
    <row r="188" customFormat="false" ht="15" hidden="false" customHeight="false" outlineLevel="0" collapsed="false">
      <c r="A188" s="0" t="s">
        <v>485</v>
      </c>
      <c r="B188" s="0" t="s">
        <v>486</v>
      </c>
      <c r="C188" s="3" t="n">
        <v>0</v>
      </c>
      <c r="D188" s="3" t="n">
        <v>0</v>
      </c>
      <c r="E188" s="3" t="n">
        <v>0</v>
      </c>
      <c r="F188" s="3" t="n">
        <v>2</v>
      </c>
      <c r="G188" s="3" t="n">
        <v>2</v>
      </c>
      <c r="H188" s="8" t="n">
        <f aca="false">INDEX(C188:E188,1,CHOOSE(scenario,F188,2,G188))</f>
        <v>0</v>
      </c>
      <c r="I188" s="7"/>
      <c r="J188" s="2" t="n">
        <f aca="false">IF(I188&lt;&gt;"",I188,IF(O188&lt;&gt;"",O188,H188))</f>
        <v>0</v>
      </c>
      <c r="K188" s="8" t="s">
        <v>469</v>
      </c>
      <c r="L188" s="8" t="s">
        <v>470</v>
      </c>
      <c r="M188" s="8" t="s">
        <v>487</v>
      </c>
      <c r="N188" s="8" t="s">
        <v>56</v>
      </c>
      <c r="O188" s="0" t="str">
        <f aca="false">IFERROR(IF(option_sel=0,"",IF(LEN(INDEX(Opt_Overview!$C$7:$M$38,MATCH($A188,Opt_Overview!$A$7:$A$38,0),option_sel))=0,"",INDEX(Opt_Overview!$C$7:$M$38,MATCH($A188,Opt_Overview!$A$7:$A$38,0),option_sel))),"")</f>
        <v/>
      </c>
    </row>
    <row r="189" customFormat="false" ht="15" hidden="false" customHeight="false" outlineLevel="0" collapsed="false">
      <c r="A189" s="0" t="s">
        <v>488</v>
      </c>
      <c r="B189" s="0" t="s">
        <v>418</v>
      </c>
      <c r="C189" s="3" t="n">
        <v>0</v>
      </c>
      <c r="D189" s="3" t="n">
        <v>0</v>
      </c>
      <c r="E189" s="3" t="n">
        <v>0</v>
      </c>
      <c r="F189" s="3" t="n">
        <v>2</v>
      </c>
      <c r="G189" s="3" t="n">
        <v>2</v>
      </c>
      <c r="H189" s="8" t="n">
        <f aca="false">INDEX(C189:E189,1,CHOOSE(scenario,F189,2,G189))</f>
        <v>0</v>
      </c>
      <c r="I189" s="7"/>
      <c r="J189" s="2" t="n">
        <f aca="false">IF(I189&lt;&gt;"",I189,IF(O189&lt;&gt;"",O189,H189))</f>
        <v>0</v>
      </c>
      <c r="K189" s="8" t="s">
        <v>469</v>
      </c>
      <c r="L189" s="8" t="s">
        <v>470</v>
      </c>
      <c r="M189" s="8" t="s">
        <v>489</v>
      </c>
      <c r="N189" s="8" t="s">
        <v>56</v>
      </c>
      <c r="O189" s="0" t="str">
        <f aca="false">IFERROR(IF(option_sel=0,"",IF(LEN(INDEX(Opt_Overview!$C$7:$M$38,MATCH($A189,Opt_Overview!$A$7:$A$38,0),option_sel))=0,"",INDEX(Opt_Overview!$C$7:$M$38,MATCH($A189,Opt_Overview!$A$7:$A$38,0),option_sel))),"")</f>
        <v/>
      </c>
    </row>
    <row r="190" customFormat="false" ht="15" hidden="false" customHeight="false" outlineLevel="0" collapsed="false">
      <c r="A190" s="0" t="s">
        <v>490</v>
      </c>
      <c r="B190" s="0" t="s">
        <v>72</v>
      </c>
      <c r="C190" s="3" t="n">
        <v>0</v>
      </c>
      <c r="D190" s="3" t="n">
        <v>0</v>
      </c>
      <c r="E190" s="3" t="n">
        <v>0</v>
      </c>
      <c r="F190" s="3" t="n">
        <v>2</v>
      </c>
      <c r="G190" s="3" t="n">
        <v>2</v>
      </c>
      <c r="H190" s="8" t="n">
        <f aca="false">INDEX(C190:E190,1,CHOOSE(scenario,F190,2,G190))</f>
        <v>0</v>
      </c>
      <c r="I190" s="7"/>
      <c r="J190" s="2" t="n">
        <f aca="false">IF(I190&lt;&gt;"",I190,IF(O190&lt;&gt;"",O190,H190))</f>
        <v>0</v>
      </c>
      <c r="K190" s="8" t="s">
        <v>469</v>
      </c>
      <c r="L190" s="8" t="s">
        <v>470</v>
      </c>
      <c r="M190" s="8" t="s">
        <v>491</v>
      </c>
      <c r="N190" s="8" t="s">
        <v>56</v>
      </c>
      <c r="O190" s="0" t="str">
        <f aca="false">IFERROR(IF(option_sel=0,"",IF(LEN(INDEX(Opt_Overview!$C$7:$M$38,MATCH($A190,Opt_Overview!$A$7:$A$38,0),option_sel))=0,"",INDEX(Opt_Overview!$C$7:$M$38,MATCH($A190,Opt_Overview!$A$7:$A$38,0),option_sel))),"")</f>
        <v/>
      </c>
    </row>
    <row r="191" customFormat="false" ht="15" hidden="false" customHeight="false" outlineLevel="0" collapsed="false">
      <c r="A191" s="0" t="s">
        <v>492</v>
      </c>
      <c r="B191" s="0" t="s">
        <v>197</v>
      </c>
      <c r="C191" s="3" t="n">
        <v>0</v>
      </c>
      <c r="D191" s="3" t="n">
        <v>0</v>
      </c>
      <c r="E191" s="3" t="n">
        <v>0</v>
      </c>
      <c r="F191" s="3" t="n">
        <v>2</v>
      </c>
      <c r="G191" s="3" t="n">
        <v>2</v>
      </c>
      <c r="H191" s="8" t="n">
        <f aca="false">INDEX(C191:E191,1,CHOOSE(scenario,F191,2,G191))</f>
        <v>0</v>
      </c>
      <c r="I191" s="7"/>
      <c r="J191" s="2" t="n">
        <f aca="false">IF(I191&lt;&gt;"",I191,IF(O191&lt;&gt;"",O191,H191))</f>
        <v>0</v>
      </c>
      <c r="K191" s="8" t="s">
        <v>469</v>
      </c>
      <c r="L191" s="8" t="s">
        <v>470</v>
      </c>
      <c r="M191" s="8" t="s">
        <v>493</v>
      </c>
      <c r="N191" s="8" t="s">
        <v>56</v>
      </c>
      <c r="O191" s="0" t="str">
        <f aca="false">IFERROR(IF(option_sel=0,"",IF(LEN(INDEX(Opt_Overview!$C$7:$M$38,MATCH($A191,Opt_Overview!$A$7:$A$38,0),option_sel))=0,"",INDEX(Opt_Overview!$C$7:$M$38,MATCH($A191,Opt_Overview!$A$7:$A$38,0),option_sel))),"")</f>
        <v/>
      </c>
    </row>
    <row r="192" customFormat="false" ht="15" hidden="false" customHeight="false" outlineLevel="0" collapsed="false">
      <c r="A192" s="0" t="s">
        <v>494</v>
      </c>
      <c r="B192" s="0" t="s">
        <v>66</v>
      </c>
      <c r="C192" s="3" t="n">
        <v>0</v>
      </c>
      <c r="D192" s="3" t="n">
        <v>0</v>
      </c>
      <c r="E192" s="3" t="n">
        <v>0</v>
      </c>
      <c r="F192" s="3" t="n">
        <v>2</v>
      </c>
      <c r="G192" s="3" t="n">
        <v>2</v>
      </c>
      <c r="H192" s="8" t="n">
        <f aca="false">INDEX(C192:E192,1,CHOOSE(scenario,F192,2,G192))</f>
        <v>0</v>
      </c>
      <c r="I192" s="7"/>
      <c r="J192" s="2" t="n">
        <f aca="false">IF(I192&lt;&gt;"",I192,IF(O192&lt;&gt;"",O192,H192))</f>
        <v>0</v>
      </c>
      <c r="K192" s="8" t="s">
        <v>469</v>
      </c>
      <c r="L192" s="8" t="s">
        <v>470</v>
      </c>
      <c r="M192" s="8" t="s">
        <v>495</v>
      </c>
      <c r="N192" s="8" t="s">
        <v>56</v>
      </c>
      <c r="O192" s="0" t="str">
        <f aca="false">IFERROR(IF(option_sel=0,"",IF(LEN(INDEX(Opt_Overview!$C$7:$M$38,MATCH($A192,Opt_Overview!$A$7:$A$38,0),option_sel))=0,"",INDEX(Opt_Overview!$C$7:$M$38,MATCH($A192,Opt_Overview!$A$7:$A$38,0),option_sel))),"")</f>
        <v/>
      </c>
    </row>
    <row r="193" customFormat="false" ht="15" hidden="false" customHeight="false" outlineLevel="0" collapsed="false">
      <c r="A193" s="0" t="s">
        <v>496</v>
      </c>
      <c r="B193" s="0" t="s">
        <v>66</v>
      </c>
      <c r="C193" s="3" t="n">
        <v>0</v>
      </c>
      <c r="D193" s="3" t="n">
        <v>0</v>
      </c>
      <c r="E193" s="3" t="n">
        <v>0</v>
      </c>
      <c r="F193" s="3" t="n">
        <v>2</v>
      </c>
      <c r="G193" s="3" t="n">
        <v>2</v>
      </c>
      <c r="H193" s="8" t="n">
        <f aca="false">INDEX(C193:E193,1,CHOOSE(scenario,F193,2,G193))</f>
        <v>0</v>
      </c>
      <c r="I193" s="7"/>
      <c r="J193" s="2" t="n">
        <f aca="false">IF(I193&lt;&gt;"",I193,IF(O193&lt;&gt;"",O193,H193))</f>
        <v>0</v>
      </c>
      <c r="K193" s="8" t="s">
        <v>469</v>
      </c>
      <c r="L193" s="8" t="s">
        <v>470</v>
      </c>
      <c r="M193" s="8" t="s">
        <v>497</v>
      </c>
      <c r="N193" s="8" t="s">
        <v>56</v>
      </c>
      <c r="O193" s="0" t="str">
        <f aca="false">IFERROR(IF(option_sel=0,"",IF(LEN(INDEX(Opt_Overview!$C$7:$M$38,MATCH($A193,Opt_Overview!$A$7:$A$38,0),option_sel))=0,"",INDEX(Opt_Overview!$C$7:$M$38,MATCH($A193,Opt_Overview!$A$7:$A$38,0),option_sel))),"")</f>
        <v/>
      </c>
    </row>
    <row r="194" customFormat="false" ht="15" hidden="false" customHeight="false" outlineLevel="0" collapsed="false">
      <c r="A194" s="0" t="s">
        <v>498</v>
      </c>
      <c r="B194" s="0" t="s">
        <v>287</v>
      </c>
      <c r="C194" s="3" t="n">
        <v>0</v>
      </c>
      <c r="D194" s="3" t="n">
        <v>0</v>
      </c>
      <c r="E194" s="3" t="n">
        <v>0</v>
      </c>
      <c r="F194" s="3" t="n">
        <v>2</v>
      </c>
      <c r="G194" s="3" t="n">
        <v>2</v>
      </c>
      <c r="H194" s="8" t="n">
        <f aca="false">INDEX(C194:E194,1,CHOOSE(scenario,F194,2,G194))</f>
        <v>0</v>
      </c>
      <c r="I194" s="7"/>
      <c r="J194" s="2" t="n">
        <f aca="false">IF(I194&lt;&gt;"",I194,IF(O194&lt;&gt;"",O194,H194))</f>
        <v>0</v>
      </c>
      <c r="K194" s="8" t="s">
        <v>469</v>
      </c>
      <c r="L194" s="8" t="s">
        <v>470</v>
      </c>
      <c r="M194" s="8" t="s">
        <v>499</v>
      </c>
      <c r="N194" s="8" t="s">
        <v>56</v>
      </c>
      <c r="O194" s="0" t="str">
        <f aca="false">IFERROR(IF(option_sel=0,"",IF(LEN(INDEX(Opt_Overview!$C$7:$M$38,MATCH($A194,Opt_Overview!$A$7:$A$38,0),option_sel))=0,"",INDEX(Opt_Overview!$C$7:$M$38,MATCH($A194,Opt_Overview!$A$7:$A$38,0),option_sel))),"")</f>
        <v/>
      </c>
    </row>
    <row r="195" customFormat="false" ht="15" hidden="false" customHeight="false" outlineLevel="0" collapsed="false">
      <c r="A195" s="0" t="s">
        <v>500</v>
      </c>
      <c r="B195" s="0" t="s">
        <v>287</v>
      </c>
      <c r="C195" s="3" t="n">
        <v>0</v>
      </c>
      <c r="D195" s="3" t="n">
        <v>0</v>
      </c>
      <c r="E195" s="3" t="n">
        <v>0</v>
      </c>
      <c r="F195" s="3" t="n">
        <v>2</v>
      </c>
      <c r="G195" s="3" t="n">
        <v>2</v>
      </c>
      <c r="H195" s="8" t="n">
        <f aca="false">INDEX(C195:E195,1,CHOOSE(scenario,F195,2,G195))</f>
        <v>0</v>
      </c>
      <c r="I195" s="7"/>
      <c r="J195" s="2" t="n">
        <f aca="false">IF(I195&lt;&gt;"",I195,IF(O195&lt;&gt;"",O195,H195))</f>
        <v>0</v>
      </c>
      <c r="K195" s="8" t="s">
        <v>469</v>
      </c>
      <c r="L195" s="8" t="s">
        <v>470</v>
      </c>
      <c r="M195" s="8" t="s">
        <v>501</v>
      </c>
      <c r="N195" s="8" t="s">
        <v>56</v>
      </c>
      <c r="O195" s="0" t="str">
        <f aca="false">IFERROR(IF(option_sel=0,"",IF(LEN(INDEX(Opt_Overview!$C$7:$M$38,MATCH($A195,Opt_Overview!$A$7:$A$38,0),option_sel))=0,"",INDEX(Opt_Overview!$C$7:$M$38,MATCH($A195,Opt_Overview!$A$7:$A$38,0),option_sel))),"")</f>
        <v/>
      </c>
    </row>
    <row r="196" customFormat="false" ht="15" hidden="false" customHeight="false" outlineLevel="0" collapsed="false">
      <c r="A196" s="0" t="s">
        <v>502</v>
      </c>
      <c r="B196" s="0" t="s">
        <v>486</v>
      </c>
      <c r="C196" s="3" t="n">
        <v>0</v>
      </c>
      <c r="D196" s="3" t="n">
        <v>0</v>
      </c>
      <c r="E196" s="3" t="n">
        <v>0</v>
      </c>
      <c r="F196" s="3" t="n">
        <v>2</v>
      </c>
      <c r="G196" s="3" t="n">
        <v>2</v>
      </c>
      <c r="H196" s="8" t="n">
        <f aca="false">INDEX(C196:E196,1,CHOOSE(scenario,F196,2,G196))</f>
        <v>0</v>
      </c>
      <c r="I196" s="7"/>
      <c r="J196" s="2" t="n">
        <f aca="false">IF(I196&lt;&gt;"",I196,IF(O196&lt;&gt;"",O196,H196))</f>
        <v>0</v>
      </c>
      <c r="K196" s="8" t="s">
        <v>469</v>
      </c>
      <c r="L196" s="8" t="s">
        <v>470</v>
      </c>
      <c r="M196" s="8" t="s">
        <v>503</v>
      </c>
      <c r="N196" s="8" t="s">
        <v>56</v>
      </c>
      <c r="O196" s="0" t="str">
        <f aca="false">IFERROR(IF(option_sel=0,"",IF(LEN(INDEX(Opt_Overview!$C$7:$M$38,MATCH($A196,Opt_Overview!$A$7:$A$38,0),option_sel))=0,"",INDEX(Opt_Overview!$C$7:$M$38,MATCH($A196,Opt_Overview!$A$7:$A$38,0),option_sel))),"")</f>
        <v/>
      </c>
    </row>
  </sheetData>
  <dataValidations count="1">
    <dataValidation allowBlank="false" errorStyle="stop" operator="between" showDropDown="false" showErrorMessage="false" showInputMessage="false" sqref="C3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3" style="0" width="18"/>
  </cols>
  <sheetData>
    <row r="1" customFormat="false" ht="17.35" hidden="false" customHeight="false" outlineLevel="0" collapsed="false">
      <c r="A1" s="1" t="s">
        <v>504</v>
      </c>
    </row>
    <row r="3" customFormat="false" ht="15" hidden="false" customHeight="false" outlineLevel="0" collapsed="false">
      <c r="A3" s="0" t="s">
        <v>505</v>
      </c>
      <c r="C3" s="7" t="n">
        <v>3</v>
      </c>
      <c r="D3" s="8" t="n">
        <f aca="false">2026+C3</f>
        <v>2029</v>
      </c>
    </row>
    <row r="4" customFormat="false" ht="15" hidden="false" customHeight="false" outlineLevel="0" collapsed="false">
      <c r="A4" s="5" t="s">
        <v>506</v>
      </c>
    </row>
    <row r="6" customFormat="false" ht="28.35" hidden="false" customHeight="false" outlineLevel="0" collapsed="false">
      <c r="A6" s="6" t="s">
        <v>507</v>
      </c>
      <c r="B6" s="6"/>
      <c r="C6" s="6" t="s">
        <v>508</v>
      </c>
      <c r="D6" s="6" t="s">
        <v>509</v>
      </c>
      <c r="E6" s="6" t="s">
        <v>510</v>
      </c>
      <c r="F6" s="6" t="s">
        <v>511</v>
      </c>
    </row>
    <row r="7" customFormat="false" ht="15" hidden="false" customHeight="false" outlineLevel="0" collapsed="false">
      <c r="A7" s="2" t="s">
        <v>512</v>
      </c>
      <c r="C7" s="10" t="n">
        <f aca="false">INDEX(Revenue!$D$21:$M$21,1,$C$3)</f>
        <v>137.38798656</v>
      </c>
      <c r="D7" s="10" t="n">
        <f aca="false">INDEX(Revenue!$D$22:$M$22,1,$C$3)</f>
        <v>135.75888</v>
      </c>
      <c r="E7" s="10" t="n">
        <f aca="false">(INDEX(Revenue!$D$25:$M$25,1,$C$3)+INDEX(Revenue!$D$26:$M$26,1,$C$3))/INDEX(Revenue!$D$8:$M$8,1,$C$3)</f>
        <v>136.736343936</v>
      </c>
      <c r="F7" s="10" t="n">
        <f aca="false">C7-D7</f>
        <v>1.62910656</v>
      </c>
    </row>
    <row r="8" customFormat="false" ht="15" hidden="false" customHeight="false" outlineLevel="0" collapsed="false">
      <c r="A8" s="0" t="s">
        <v>513</v>
      </c>
      <c r="C8" s="11" t="n">
        <f aca="false">INDEX(Opex!$D$13:$M$13,1,$C$3)</f>
        <v>36.7445</v>
      </c>
      <c r="D8" s="11" t="n">
        <f aca="false">INDEX(Opex!$D$21:$M$21,1,$C$3)</f>
        <v>35.0486</v>
      </c>
      <c r="E8" s="11" t="n">
        <f aca="false">(INDEX(Revenue!$D$9:$M$9,1,$C$3)/INDEX(Revenue!$D$8:$M$8,1,$C$3))*C8+(1-(INDEX(Revenue!$D$9:$M$9,1,$C$3)/INDEX(Revenue!$D$8:$M$8,1,$C$3)))*D8</f>
        <v>36.06614</v>
      </c>
      <c r="F8" s="11" t="n">
        <f aca="false">C8-D8</f>
        <v>1.6959</v>
      </c>
    </row>
    <row r="9" customFormat="false" ht="15" hidden="false" customHeight="false" outlineLevel="0" collapsed="false">
      <c r="A9" s="0" t="s">
        <v>514</v>
      </c>
      <c r="C9" s="11" t="n">
        <f aca="false">INDEX(Opex!$D$14:$M$14,1,$C$3)</f>
        <v>19.84</v>
      </c>
      <c r="D9" s="11" t="n">
        <f aca="false">INDEX(Opex!$D$22:$M$22,1,$C$3)</f>
        <v>39.712</v>
      </c>
      <c r="E9" s="11" t="n">
        <f aca="false">(INDEX(Revenue!$D$9:$M$9,1,$C$3)/INDEX(Revenue!$D$8:$M$8,1,$C$3))*C9+(1-(INDEX(Revenue!$D$9:$M$9,1,$C$3)/INDEX(Revenue!$D$8:$M$8,1,$C$3)))*D9</f>
        <v>27.7888</v>
      </c>
      <c r="F9" s="11" t="n">
        <f aca="false">C9-D9</f>
        <v>-19.872</v>
      </c>
    </row>
    <row r="10" customFormat="false" ht="15" hidden="false" customHeight="false" outlineLevel="0" collapsed="false">
      <c r="A10" s="0" t="s">
        <v>515</v>
      </c>
      <c r="C10" s="11" t="n">
        <f aca="false">INDEX(Opex!$D$15:$M$15,1,$C$3)</f>
        <v>13.72</v>
      </c>
      <c r="D10" s="11" t="n">
        <f aca="false">INDEX(Opex!$D$23:$M$23,1,$C$3)</f>
        <v>0</v>
      </c>
      <c r="E10" s="11" t="n">
        <f aca="false">(INDEX(Revenue!$D$9:$M$9,1,$C$3)/INDEX(Revenue!$D$8:$M$8,1,$C$3))*C10+(1-(INDEX(Revenue!$D$9:$M$9,1,$C$3)/INDEX(Revenue!$D$8:$M$8,1,$C$3)))*D10</f>
        <v>8.232</v>
      </c>
      <c r="F10" s="11" t="n">
        <f aca="false">C10-D10</f>
        <v>13.72</v>
      </c>
    </row>
    <row r="11" customFormat="false" ht="15" hidden="false" customHeight="false" outlineLevel="0" collapsed="false">
      <c r="A11" s="0" t="s">
        <v>516</v>
      </c>
      <c r="C11" s="11" t="n">
        <f aca="false">INDEX(Opex!$D$16:$M$16,1,$C$3)</f>
        <v>11.97</v>
      </c>
      <c r="D11" s="11" t="n">
        <f aca="false">INDEX(Opex!$D$24:$M$24,1,$C$3)</f>
        <v>12.141</v>
      </c>
      <c r="E11" s="11" t="n">
        <f aca="false">(INDEX(Revenue!$D$9:$M$9,1,$C$3)/INDEX(Revenue!$D$8:$M$8,1,$C$3))*C11+(1-(INDEX(Revenue!$D$9:$M$9,1,$C$3)/INDEX(Revenue!$D$8:$M$8,1,$C$3)))*D11</f>
        <v>12.0384</v>
      </c>
      <c r="F11" s="11" t="n">
        <f aca="false">C11-D11</f>
        <v>-0.170999999999999</v>
      </c>
    </row>
    <row r="12" customFormat="false" ht="15" hidden="false" customHeight="false" outlineLevel="0" collapsed="false">
      <c r="A12" s="0" t="s">
        <v>517</v>
      </c>
      <c r="C12" s="11" t="n">
        <f aca="false">INDEX(Opex!$D$17:$M$17,1,$C$3)</f>
        <v>4.095</v>
      </c>
      <c r="D12" s="11" t="n">
        <f aca="false">INDEX(Opex!$D$25:$M$25,1,$C$3)</f>
        <v>3.038</v>
      </c>
      <c r="E12" s="11" t="n">
        <f aca="false">(INDEX(Revenue!$D$9:$M$9,1,$C$3)/INDEX(Revenue!$D$8:$M$8,1,$C$3))*C12+(1-(INDEX(Revenue!$D$9:$M$9,1,$C$3)/INDEX(Revenue!$D$8:$M$8,1,$C$3)))*D12</f>
        <v>3.6722</v>
      </c>
      <c r="F12" s="11" t="n">
        <f aca="false">C12-D12</f>
        <v>1.057</v>
      </c>
    </row>
    <row r="13" customFormat="false" ht="15" hidden="false" customHeight="false" outlineLevel="0" collapsed="false">
      <c r="A13" s="0" t="s">
        <v>518</v>
      </c>
      <c r="C13" s="11" t="n">
        <f aca="false">INDEX(Opex!$D$18:$M$18,1,$C$3)</f>
        <v>0.2316</v>
      </c>
      <c r="D13" s="11" t="n">
        <f aca="false">INDEX(Opex!$D$26:$M$26,1,$C$3)</f>
        <v>0.198</v>
      </c>
      <c r="E13" s="11" t="n">
        <f aca="false">(INDEX(Revenue!$D$9:$M$9,1,$C$3)/INDEX(Revenue!$D$8:$M$8,1,$C$3))*C13+(1-(INDEX(Revenue!$D$9:$M$9,1,$C$3)/INDEX(Revenue!$D$8:$M$8,1,$C$3)))*D13</f>
        <v>0.21816</v>
      </c>
      <c r="F13" s="11" t="n">
        <f aca="false">C13-D13</f>
        <v>0.0336</v>
      </c>
    </row>
    <row r="14" customFormat="false" ht="15" hidden="false" customHeight="false" outlineLevel="0" collapsed="false">
      <c r="A14" s="0" t="s">
        <v>519</v>
      </c>
      <c r="C14" s="11" t="n">
        <f aca="false">Opex!$C$8</f>
        <v>1.008</v>
      </c>
      <c r="D14" s="11" t="n">
        <f aca="false">0</f>
        <v>0</v>
      </c>
      <c r="E14" s="11" t="n">
        <f aca="false">(INDEX(Revenue!$D$9:$M$9,1,$C$3)/INDEX(Revenue!$D$8:$M$8,1,$C$3))*C14+(1-(INDEX(Revenue!$D$9:$M$9,1,$C$3)/INDEX(Revenue!$D$8:$M$8,1,$C$3)))*D14</f>
        <v>0.6048</v>
      </c>
      <c r="F14" s="11" t="n">
        <f aca="false">C14-D14</f>
        <v>1.008</v>
      </c>
    </row>
    <row r="15" customFormat="false" ht="15" hidden="false" customHeight="false" outlineLevel="0" collapsed="false">
      <c r="A15" s="0" t="s">
        <v>520</v>
      </c>
      <c r="C15" s="11" t="n">
        <f aca="false">Opex!$C$9</f>
        <v>0.906</v>
      </c>
      <c r="D15" s="11" t="n">
        <f aca="false">Opex!$C$9</f>
        <v>0.906</v>
      </c>
      <c r="E15" s="11" t="n">
        <f aca="false">(INDEX(Revenue!$D$9:$M$9,1,$C$3)/INDEX(Revenue!$D$8:$M$8,1,$C$3))*C15+(1-(INDEX(Revenue!$D$9:$M$9,1,$C$3)/INDEX(Revenue!$D$8:$M$8,1,$C$3)))*D15</f>
        <v>0.906</v>
      </c>
      <c r="F15" s="11" t="n">
        <f aca="false">C15-D15</f>
        <v>0</v>
      </c>
    </row>
    <row r="16" customFormat="false" ht="15" hidden="false" customHeight="false" outlineLevel="0" collapsed="false">
      <c r="A16" s="0" t="s">
        <v>521</v>
      </c>
      <c r="C16" s="11" t="n">
        <f aca="false">opt_cost_delta_per_m3</f>
        <v>0</v>
      </c>
      <c r="D16" s="11" t="n">
        <f aca="false">opt_cost_delta_per_m3</f>
        <v>0</v>
      </c>
      <c r="E16" s="11" t="n">
        <f aca="false">(INDEX(Revenue!$D$9:$M$9,1,$C$3)/INDEX(Revenue!$D$8:$M$8,1,$C$3))*C16+(1-(INDEX(Revenue!$D$9:$M$9,1,$C$3)/INDEX(Revenue!$D$8:$M$8,1,$C$3)))*D16</f>
        <v>0</v>
      </c>
      <c r="F16" s="11" t="n">
        <f aca="false">C16-D16</f>
        <v>0</v>
      </c>
    </row>
    <row r="17" customFormat="false" ht="15" hidden="false" customHeight="false" outlineLevel="0" collapsed="false">
      <c r="A17" s="0" t="s">
        <v>522</v>
      </c>
      <c r="C17" s="11" t="n">
        <f aca="false">IF(INDEX(Revenue!$D$9:$M$9,1,$C$3)&gt;0,INDEX(Opex!$D$39:$M$39,1,$C$3)/INDEX(Revenue!$D$9:$M$9,1,$C$3),0)</f>
        <v>0</v>
      </c>
      <c r="D17" s="11" t="n">
        <f aca="false">0</f>
        <v>0</v>
      </c>
      <c r="E17" s="11" t="n">
        <f aca="false">(INDEX(Revenue!$D$9:$M$9,1,$C$3)/INDEX(Revenue!$D$8:$M$8,1,$C$3))*C17+(1-(INDEX(Revenue!$D$9:$M$9,1,$C$3)/INDEX(Revenue!$D$8:$M$8,1,$C$3)))*D17</f>
        <v>0</v>
      </c>
      <c r="F17" s="11" t="n">
        <f aca="false">C17-D17</f>
        <v>0</v>
      </c>
    </row>
    <row r="18" customFormat="false" ht="15" hidden="false" customHeight="false" outlineLevel="0" collapsed="false">
      <c r="A18" s="0" t="s">
        <v>523</v>
      </c>
      <c r="C18" s="11" t="n">
        <f aca="false">-(INDEX(Opex!$D$65:$M$65,1,$C$3)-INDEX(Revenue!$D$40:$M$40,1,$C$3)*bad_debt_pct_revenue/100)/INDEX(Revenue!$D$8:$M$8,1,$C$3)</f>
        <v>-0</v>
      </c>
      <c r="D18" s="11" t="n">
        <f aca="false">-(INDEX(Opex!$D$65:$M$65,1,$C$3)-INDEX(Revenue!$D$40:$M$40,1,$C$3)*bad_debt_pct_revenue/100)/INDEX(Revenue!$D$8:$M$8,1,$C$3)</f>
        <v>-0</v>
      </c>
      <c r="E18" s="11" t="n">
        <f aca="false">(INDEX(Revenue!$D$9:$M$9,1,$C$3)/INDEX(Revenue!$D$8:$M$8,1,$C$3))*C18+(1-(INDEX(Revenue!$D$9:$M$9,1,$C$3)/INDEX(Revenue!$D$8:$M$8,1,$C$3)))*D18</f>
        <v>-0</v>
      </c>
      <c r="F18" s="11" t="n">
        <f aca="false">C18-D18</f>
        <v>0</v>
      </c>
    </row>
    <row r="19" customFormat="false" ht="15" hidden="false" customHeight="false" outlineLevel="0" collapsed="false">
      <c r="A19" s="0" t="s">
        <v>524</v>
      </c>
      <c r="C19" s="11" t="n">
        <f aca="false">INDEX(Opex!$D$48:$M$48,1,$C$3)/INDEX(Revenue!$D$8:$M$8,1,$C$3)</f>
        <v>7.105525875</v>
      </c>
      <c r="D19" s="11" t="n">
        <f aca="false">INDEX(Opex!$D$48:$M$48,1,$C$3)/INDEX(Revenue!$D$8:$M$8,1,$C$3)</f>
        <v>7.105525875</v>
      </c>
      <c r="E19" s="11" t="n">
        <f aca="false">(INDEX(Revenue!$D$9:$M$9,1,$C$3)/INDEX(Revenue!$D$8:$M$8,1,$C$3))*C19+(1-(INDEX(Revenue!$D$9:$M$9,1,$C$3)/INDEX(Revenue!$D$8:$M$8,1,$C$3)))*D19</f>
        <v>7.105525875</v>
      </c>
      <c r="F19" s="11" t="n">
        <f aca="false">C19-D19</f>
        <v>0</v>
      </c>
    </row>
    <row r="20" customFormat="false" ht="15" hidden="false" customHeight="false" outlineLevel="0" collapsed="false">
      <c r="A20" s="0" t="s">
        <v>525</v>
      </c>
      <c r="C20" s="11" t="n">
        <f aca="false">INDEX(Opex!$D$49:$M$49,1,$C$3)/INDEX(Revenue!$D$8:$M$8,1,$C$3)</f>
        <v>1.78571428571429</v>
      </c>
      <c r="D20" s="11" t="n">
        <f aca="false">INDEX(Opex!$D$49:$M$49,1,$C$3)/INDEX(Revenue!$D$8:$M$8,1,$C$3)</f>
        <v>1.78571428571429</v>
      </c>
      <c r="E20" s="11" t="n">
        <f aca="false">(INDEX(Revenue!$D$9:$M$9,1,$C$3)/INDEX(Revenue!$D$8:$M$8,1,$C$3))*C20+(1-(INDEX(Revenue!$D$9:$M$9,1,$C$3)/INDEX(Revenue!$D$8:$M$8,1,$C$3)))*D20</f>
        <v>1.78571428571429</v>
      </c>
      <c r="F20" s="11" t="n">
        <f aca="false">C20-D20</f>
        <v>0</v>
      </c>
    </row>
    <row r="21" customFormat="false" ht="15" hidden="false" customHeight="false" outlineLevel="0" collapsed="false">
      <c r="A21" s="0" t="s">
        <v>526</v>
      </c>
      <c r="C21" s="11" t="n">
        <f aca="false">INDEX(Opex!$D$50:$M$50,1,$C$3)/INDEX(Revenue!$D$8:$M$8,1,$C$3)</f>
        <v>0.714285714285714</v>
      </c>
      <c r="D21" s="11" t="n">
        <f aca="false">INDEX(Opex!$D$50:$M$50,1,$C$3)/INDEX(Revenue!$D$8:$M$8,1,$C$3)</f>
        <v>0.714285714285714</v>
      </c>
      <c r="E21" s="11" t="n">
        <f aca="false">(INDEX(Revenue!$D$9:$M$9,1,$C$3)/INDEX(Revenue!$D$8:$M$8,1,$C$3))*C21+(1-(INDEX(Revenue!$D$9:$M$9,1,$C$3)/INDEX(Revenue!$D$8:$M$8,1,$C$3)))*D21</f>
        <v>0.714285714285714</v>
      </c>
      <c r="F21" s="11" t="n">
        <f aca="false">C21-D21</f>
        <v>0</v>
      </c>
    </row>
    <row r="22" customFormat="false" ht="15" hidden="false" customHeight="false" outlineLevel="0" collapsed="false">
      <c r="A22" s="0" t="s">
        <v>527</v>
      </c>
      <c r="C22" s="11" t="n">
        <f aca="false">INDEX(Opex!$D$51:$M$51,1,$C$3)/INDEX(Revenue!$D$8:$M$8,1,$C$3)</f>
        <v>2.14285714285714</v>
      </c>
      <c r="D22" s="11" t="n">
        <f aca="false">INDEX(Opex!$D$51:$M$51,1,$C$3)/INDEX(Revenue!$D$8:$M$8,1,$C$3)</f>
        <v>2.14285714285714</v>
      </c>
      <c r="E22" s="11" t="n">
        <f aca="false">(INDEX(Revenue!$D$9:$M$9,1,$C$3)/INDEX(Revenue!$D$8:$M$8,1,$C$3))*C22+(1-(INDEX(Revenue!$D$9:$M$9,1,$C$3)/INDEX(Revenue!$D$8:$M$8,1,$C$3)))*D22</f>
        <v>2.14285714285714</v>
      </c>
      <c r="F22" s="11" t="n">
        <f aca="false">C22-D22</f>
        <v>0</v>
      </c>
    </row>
    <row r="23" customFormat="false" ht="15" hidden="false" customHeight="false" outlineLevel="0" collapsed="false">
      <c r="A23" s="0" t="s">
        <v>528</v>
      </c>
      <c r="C23" s="11" t="n">
        <f aca="false">INDEX(Opex!$D$52:$M$52,1,$C$3)/INDEX(Revenue!$D$8:$M$8,1,$C$3)</f>
        <v>3.91528976785714</v>
      </c>
      <c r="D23" s="11" t="n">
        <f aca="false">INDEX(Opex!$D$52:$M$52,1,$C$3)/INDEX(Revenue!$D$8:$M$8,1,$C$3)</f>
        <v>3.91528976785714</v>
      </c>
      <c r="E23" s="11" t="n">
        <f aca="false">(INDEX(Revenue!$D$9:$M$9,1,$C$3)/INDEX(Revenue!$D$8:$M$8,1,$C$3))*C23+(1-(INDEX(Revenue!$D$9:$M$9,1,$C$3)/INDEX(Revenue!$D$8:$M$8,1,$C$3)))*D23</f>
        <v>3.91528976785714</v>
      </c>
      <c r="F23" s="11" t="n">
        <f aca="false">C23-D23</f>
        <v>0</v>
      </c>
    </row>
    <row r="24" customFormat="false" ht="15" hidden="false" customHeight="false" outlineLevel="0" collapsed="false">
      <c r="A24" s="0" t="s">
        <v>529</v>
      </c>
      <c r="C24" s="11" t="n">
        <f aca="false">INDEX(Opex!$D$53:$M$53,1,$C$3)/INDEX(Revenue!$D$8:$M$8,1,$C$3)</f>
        <v>4.28571428571429</v>
      </c>
      <c r="D24" s="11" t="n">
        <f aca="false">INDEX(Opex!$D$53:$M$53,1,$C$3)/INDEX(Revenue!$D$8:$M$8,1,$C$3)</f>
        <v>4.28571428571429</v>
      </c>
      <c r="E24" s="11" t="n">
        <f aca="false">(INDEX(Revenue!$D$9:$M$9,1,$C$3)/INDEX(Revenue!$D$8:$M$8,1,$C$3))*C24+(1-(INDEX(Revenue!$D$9:$M$9,1,$C$3)/INDEX(Revenue!$D$8:$M$8,1,$C$3)))*D24</f>
        <v>4.28571428571429</v>
      </c>
      <c r="F24" s="11" t="n">
        <f aca="false">C24-D24</f>
        <v>0</v>
      </c>
    </row>
    <row r="25" customFormat="false" ht="15" hidden="false" customHeight="false" outlineLevel="0" collapsed="false">
      <c r="A25" s="0" t="s">
        <v>530</v>
      </c>
      <c r="C25" s="11" t="n">
        <f aca="false">INDEX(Opex!$D$54:$M$54,1,$C$3)/INDEX(Revenue!$D$8:$M$8,1,$C$3)</f>
        <v>0</v>
      </c>
      <c r="D25" s="11" t="n">
        <f aca="false">INDEX(Opex!$D$54:$M$54,1,$C$3)/INDEX(Revenue!$D$8:$M$8,1,$C$3)</f>
        <v>0</v>
      </c>
      <c r="E25" s="11" t="n">
        <f aca="false">(INDEX(Revenue!$D$9:$M$9,1,$C$3)/INDEX(Revenue!$D$8:$M$8,1,$C$3))*C25+(1-(INDEX(Revenue!$D$9:$M$9,1,$C$3)/INDEX(Revenue!$D$8:$M$8,1,$C$3)))*D25</f>
        <v>0</v>
      </c>
      <c r="F25" s="11" t="n">
        <f aca="false">C25-D25</f>
        <v>0</v>
      </c>
    </row>
    <row r="26" customFormat="false" ht="15" hidden="false" customHeight="false" outlineLevel="0" collapsed="false">
      <c r="A26" s="0" t="s">
        <v>531</v>
      </c>
      <c r="C26" s="11" t="n">
        <f aca="false">Opex!$C$10</f>
        <v>19</v>
      </c>
      <c r="D26" s="11" t="n">
        <f aca="false">Opex!$C$10</f>
        <v>19</v>
      </c>
      <c r="E26" s="11" t="n">
        <f aca="false">(INDEX(Revenue!$D$9:$M$9,1,$C$3)/INDEX(Revenue!$D$8:$M$8,1,$C$3))*C26+(1-(INDEX(Revenue!$D$9:$M$9,1,$C$3)/INDEX(Revenue!$D$8:$M$8,1,$C$3)))*D26</f>
        <v>19</v>
      </c>
      <c r="F26" s="11" t="n">
        <f aca="false">C26-D26</f>
        <v>0</v>
      </c>
    </row>
    <row r="27" customFormat="false" ht="15" hidden="false" customHeight="false" outlineLevel="0" collapsed="false">
      <c r="A27" s="0" t="s">
        <v>532</v>
      </c>
      <c r="C27" s="11" t="n">
        <f aca="false">C7*bad_debt_pct_revenue/100</f>
        <v>0.6869399328</v>
      </c>
      <c r="D27" s="11" t="n">
        <f aca="false">D7*bad_debt_pct_revenue/100</f>
        <v>0.6787944</v>
      </c>
      <c r="E27" s="11" t="n">
        <f aca="false">(INDEX(Revenue!$D$9:$M$9,1,$C$3)/INDEX(Revenue!$D$8:$M$8,1,$C$3))*C27+(1-(INDEX(Revenue!$D$9:$M$9,1,$C$3)/INDEX(Revenue!$D$8:$M$8,1,$C$3)))*D27</f>
        <v>0.68368171968</v>
      </c>
      <c r="F27" s="11" t="n">
        <f aca="false">C27-D27</f>
        <v>0.00814553279999997</v>
      </c>
    </row>
    <row r="28" customFormat="false" ht="15" hidden="false" customHeight="false" outlineLevel="0" collapsed="false">
      <c r="A28" s="2" t="s">
        <v>533</v>
      </c>
      <c r="C28" s="10" t="n">
        <f aca="false">SUM(C8:C27)</f>
        <v>128.151427004229</v>
      </c>
      <c r="D28" s="10" t="n">
        <f aca="false">SUM(D8:D27)</f>
        <v>130.671781471429</v>
      </c>
      <c r="E28" s="10" t="n">
        <f aca="false">SUM(E8:E27)</f>
        <v>129.159568791109</v>
      </c>
      <c r="F28" s="10" t="n">
        <f aca="false">C28-D28</f>
        <v>-2.52035446719998</v>
      </c>
    </row>
    <row r="29" customFormat="false" ht="15" hidden="false" customHeight="false" outlineLevel="0" collapsed="false">
      <c r="A29" s="2" t="s">
        <v>534</v>
      </c>
      <c r="C29" s="10" t="n">
        <f aca="false">C7-C28</f>
        <v>9.23655955577144</v>
      </c>
      <c r="D29" s="10" t="n">
        <f aca="false">D7-D28</f>
        <v>5.08709852857146</v>
      </c>
      <c r="E29" s="10" t="n">
        <f aca="false">E7-E28</f>
        <v>7.57677514489143</v>
      </c>
      <c r="F29" s="10" t="n">
        <f aca="false">C29-D29</f>
        <v>4.14946102719998</v>
      </c>
    </row>
    <row r="30" customFormat="false" ht="15" hidden="false" customHeight="false" outlineLevel="0" collapsed="false">
      <c r="A30" s="0" t="s">
        <v>535</v>
      </c>
      <c r="C30" s="11" t="n">
        <f aca="false">INDEX(Capex!$D$29:$M$29,1,$C$3)/INDEX(Revenue!$D$8:$M$8,1,$C$3)</f>
        <v>3.65714285714286</v>
      </c>
      <c r="D30" s="11" t="n">
        <f aca="false">INDEX(Capex!$D$29:$M$29,1,$C$3)/INDEX(Revenue!$D$8:$M$8,1,$C$3)</f>
        <v>3.65714285714286</v>
      </c>
      <c r="E30" s="11" t="n">
        <f aca="false">(INDEX(Revenue!$D$9:$M$9,1,$C$3)/INDEX(Revenue!$D$8:$M$8,1,$C$3))*C30+(1-(INDEX(Revenue!$D$9:$M$9,1,$C$3)/INDEX(Revenue!$D$8:$M$8,1,$C$3)))*D30</f>
        <v>3.65714285714286</v>
      </c>
      <c r="F30" s="11" t="n">
        <f aca="false">C30-D30</f>
        <v>0</v>
      </c>
    </row>
    <row r="31" customFormat="false" ht="15" hidden="false" customHeight="false" outlineLevel="0" collapsed="false">
      <c r="A31" s="2" t="s">
        <v>536</v>
      </c>
      <c r="C31" s="10" t="n">
        <f aca="false">C28+C30</f>
        <v>131.808569861371</v>
      </c>
      <c r="D31" s="10" t="n">
        <f aca="false">D28+D30</f>
        <v>134.328924328571</v>
      </c>
      <c r="E31" s="10" t="n">
        <f aca="false">E28+E30</f>
        <v>132.816711648251</v>
      </c>
      <c r="F31" s="10" t="n">
        <f aca="false">C31-D31</f>
        <v>-2.52035446719998</v>
      </c>
    </row>
    <row r="32" customFormat="false" ht="15" hidden="false" customHeight="false" outlineLevel="0" collapsed="false">
      <c r="A32" s="2" t="s">
        <v>537</v>
      </c>
      <c r="C32" s="10" t="n">
        <f aca="false">C7-C31</f>
        <v>5.57941669862859</v>
      </c>
      <c r="D32" s="10" t="n">
        <f aca="false">D7-D31</f>
        <v>1.42995567142862</v>
      </c>
      <c r="E32" s="10" t="n">
        <f aca="false">E7-E31</f>
        <v>3.91963228774858</v>
      </c>
      <c r="F32" s="10" t="n">
        <f aca="false">C32-D32</f>
        <v>4.14946102719998</v>
      </c>
    </row>
    <row r="33" customFormat="false" ht="15" hidden="false" customHeight="false" outlineLevel="0" collapsed="false">
      <c r="A33" s="0" t="s">
        <v>538</v>
      </c>
      <c r="C33" s="11" t="n">
        <f aca="false">Valuation!$B$21/INDEX(Revenue!$D$8:$M$8,1,$C$3)</f>
        <v>11.7094598261988</v>
      </c>
      <c r="D33" s="11" t="n">
        <f aca="false">Valuation!$B$21/INDEX(Revenue!$D$8:$M$8,1,$C$3)</f>
        <v>11.7094598261988</v>
      </c>
      <c r="E33" s="11" t="n">
        <f aca="false">(INDEX(Revenue!$D$9:$M$9,1,$C$3)/INDEX(Revenue!$D$8:$M$8,1,$C$3))*C33+(1-(INDEX(Revenue!$D$9:$M$9,1,$C$3)/INDEX(Revenue!$D$8:$M$8,1,$C$3)))*D33</f>
        <v>11.7094598261988</v>
      </c>
      <c r="F33" s="11" t="n">
        <f aca="false">C33-D33</f>
        <v>0</v>
      </c>
    </row>
    <row r="34" customFormat="false" ht="15" hidden="false" customHeight="false" outlineLevel="0" collapsed="false">
      <c r="A34" s="2" t="s">
        <v>539</v>
      </c>
      <c r="C34" s="10" t="n">
        <f aca="false">C29-C33</f>
        <v>-2.47290027042734</v>
      </c>
      <c r="D34" s="10" t="n">
        <f aca="false">D29-D33</f>
        <v>-6.62236129762732</v>
      </c>
      <c r="E34" s="10" t="n">
        <f aca="false">E29-E33</f>
        <v>-4.13268468130735</v>
      </c>
      <c r="F34" s="10" t="n">
        <f aca="false">C34-D34</f>
        <v>4.14946102719998</v>
      </c>
    </row>
    <row r="36" customFormat="false" ht="15" hidden="false" customHeight="false" outlineLevel="0" collapsed="false">
      <c r="A36" s="0" t="s">
        <v>540</v>
      </c>
      <c r="E36" s="12" t="n">
        <f aca="false">E29*INDEX(Revenue!$D$8:$M$8,1,$C$3)-(INDEX(PnL!$D$35:$M$35,1,$C$3)-INDEX(Revenue!$D$27:$M$27,1,$C$3))</f>
        <v>0</v>
      </c>
    </row>
    <row r="37" customFormat="false" ht="15" hidden="false" customHeight="false" outlineLevel="0" collapsed="false">
      <c r="A37" s="0" t="s">
        <v>541</v>
      </c>
      <c r="C37" s="13" t="n">
        <f aca="false">C29/C7</f>
        <v>0.0672297468435324</v>
      </c>
      <c r="D37" s="13" t="n">
        <f aca="false">D29/D7</f>
        <v>0.0374715711309011</v>
      </c>
      <c r="E37" s="13" t="n">
        <f aca="false">E29/E7</f>
        <v>0.0554115674501124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3" style="0" width="13"/>
  </cols>
  <sheetData>
    <row r="1" customFormat="false" ht="17.35" hidden="false" customHeight="false" outlineLevel="0" collapsed="false">
      <c r="A1" s="1" t="s">
        <v>542</v>
      </c>
    </row>
    <row r="2" customFormat="false" ht="15" hidden="false" customHeight="false" outlineLevel="0" collapsed="false">
      <c r="A2" s="5" t="s">
        <v>543</v>
      </c>
    </row>
    <row r="3" customFormat="false" ht="15" hidden="false" customHeight="false" outlineLevel="0" collapsed="false">
      <c r="A3" s="14" t="s">
        <v>544</v>
      </c>
      <c r="B3" s="14" t="s">
        <v>36</v>
      </c>
      <c r="C3" s="15" t="n">
        <f aca="false">2026+C4</f>
        <v>2026</v>
      </c>
      <c r="D3" s="15" t="n">
        <f aca="false">2026+D4</f>
        <v>2027</v>
      </c>
      <c r="E3" s="15" t="n">
        <f aca="false">2026+E4</f>
        <v>2028</v>
      </c>
      <c r="F3" s="15" t="n">
        <f aca="false">2026+F4</f>
        <v>2029</v>
      </c>
      <c r="G3" s="15" t="n">
        <f aca="false">2026+G4</f>
        <v>2030</v>
      </c>
      <c r="H3" s="15" t="n">
        <f aca="false">2026+H4</f>
        <v>2031</v>
      </c>
      <c r="I3" s="15" t="n">
        <f aca="false">2026+I4</f>
        <v>2032</v>
      </c>
      <c r="J3" s="15" t="n">
        <f aca="false">2026+J4</f>
        <v>2033</v>
      </c>
      <c r="K3" s="15" t="n">
        <f aca="false">2026+K4</f>
        <v>2034</v>
      </c>
      <c r="L3" s="15" t="n">
        <f aca="false">2026+L4</f>
        <v>2035</v>
      </c>
      <c r="M3" s="15" t="n">
        <f aca="false">2026+M4</f>
        <v>2036</v>
      </c>
    </row>
    <row r="4" customFormat="false" ht="15" hidden="false" customHeight="false" outlineLevel="0" collapsed="false">
      <c r="A4" s="14" t="s">
        <v>545</v>
      </c>
      <c r="B4" s="16"/>
      <c r="C4" s="15" t="n">
        <v>0</v>
      </c>
      <c r="D4" s="15" t="n">
        <v>1</v>
      </c>
      <c r="E4" s="15" t="n">
        <v>2</v>
      </c>
      <c r="F4" s="15" t="n">
        <v>3</v>
      </c>
      <c r="G4" s="15" t="n">
        <v>4</v>
      </c>
      <c r="H4" s="15" t="n">
        <v>5</v>
      </c>
      <c r="I4" s="15" t="n">
        <v>6</v>
      </c>
      <c r="J4" s="15" t="n">
        <v>7</v>
      </c>
      <c r="K4" s="15" t="n">
        <v>8</v>
      </c>
      <c r="L4" s="15" t="n">
        <v>9</v>
      </c>
      <c r="M4" s="15" t="n">
        <v>10</v>
      </c>
    </row>
    <row r="6" customFormat="false" ht="15" hidden="false" customHeight="false" outlineLevel="0" collapsed="false">
      <c r="A6" s="9" t="s">
        <v>546</v>
      </c>
    </row>
    <row r="7" customFormat="false" ht="15" hidden="false" customHeight="false" outlineLevel="0" collapsed="false">
      <c r="A7" s="0" t="s">
        <v>547</v>
      </c>
      <c r="B7" s="0" t="s">
        <v>72</v>
      </c>
      <c r="C7" s="17" t="n">
        <f aca="false">IF(C$4=opt_start_delay,capex_plant_equipment*1000000,0)</f>
        <v>4000000</v>
      </c>
      <c r="D7" s="17" t="n">
        <f aca="false">IF(D$4=opt_start_delay,capex_plant_equipment*1000000,0)</f>
        <v>0</v>
      </c>
      <c r="E7" s="17" t="n">
        <f aca="false">IF(E$4=opt_start_delay,capex_plant_equipment*1000000,0)</f>
        <v>0</v>
      </c>
      <c r="F7" s="17" t="n">
        <f aca="false">IF(F$4=opt_start_delay,capex_plant_equipment*1000000,0)</f>
        <v>0</v>
      </c>
      <c r="G7" s="17" t="n">
        <f aca="false">IF(G$4=opt_start_delay,capex_plant_equipment*1000000,0)</f>
        <v>0</v>
      </c>
      <c r="H7" s="17" t="n">
        <f aca="false">IF(H$4=opt_start_delay,capex_plant_equipment*1000000,0)</f>
        <v>0</v>
      </c>
      <c r="I7" s="17" t="n">
        <f aca="false">IF(I$4=opt_start_delay,capex_plant_equipment*1000000,0)</f>
        <v>0</v>
      </c>
      <c r="J7" s="17" t="n">
        <f aca="false">IF(J$4=opt_start_delay,capex_plant_equipment*1000000,0)</f>
        <v>0</v>
      </c>
      <c r="K7" s="17" t="n">
        <f aca="false">IF(K$4=opt_start_delay,capex_plant_equipment*1000000,0)</f>
        <v>0</v>
      </c>
      <c r="L7" s="17" t="n">
        <f aca="false">IF(L$4=opt_start_delay,capex_plant_equipment*1000000,0)</f>
        <v>0</v>
      </c>
      <c r="M7" s="17" t="n">
        <f aca="false">IF(M$4=opt_start_delay,capex_plant_equipment*1000000,0)</f>
        <v>0</v>
      </c>
    </row>
    <row r="8" customFormat="false" ht="15" hidden="false" customHeight="false" outlineLevel="0" collapsed="false">
      <c r="A8" s="0" t="s">
        <v>548</v>
      </c>
      <c r="B8" s="0" t="s">
        <v>72</v>
      </c>
      <c r="C8" s="17" t="n">
        <f aca="false">IF(C$4=opt_start_delay,capex_site_prep_civil*1000000,0)</f>
        <v>1000000</v>
      </c>
      <c r="D8" s="17" t="n">
        <f aca="false">IF(D$4=opt_start_delay,capex_site_prep_civil*1000000,0)</f>
        <v>0</v>
      </c>
      <c r="E8" s="17" t="n">
        <f aca="false">IF(E$4=opt_start_delay,capex_site_prep_civil*1000000,0)</f>
        <v>0</v>
      </c>
      <c r="F8" s="17" t="n">
        <f aca="false">IF(F$4=opt_start_delay,capex_site_prep_civil*1000000,0)</f>
        <v>0</v>
      </c>
      <c r="G8" s="17" t="n">
        <f aca="false">IF(G$4=opt_start_delay,capex_site_prep_civil*1000000,0)</f>
        <v>0</v>
      </c>
      <c r="H8" s="17" t="n">
        <f aca="false">IF(H$4=opt_start_delay,capex_site_prep_civil*1000000,0)</f>
        <v>0</v>
      </c>
      <c r="I8" s="17" t="n">
        <f aca="false">IF(I$4=opt_start_delay,capex_site_prep_civil*1000000,0)</f>
        <v>0</v>
      </c>
      <c r="J8" s="17" t="n">
        <f aca="false">IF(J$4=opt_start_delay,capex_site_prep_civil*1000000,0)</f>
        <v>0</v>
      </c>
      <c r="K8" s="17" t="n">
        <f aca="false">IF(K$4=opt_start_delay,capex_site_prep_civil*1000000,0)</f>
        <v>0</v>
      </c>
      <c r="L8" s="17" t="n">
        <f aca="false">IF(L$4=opt_start_delay,capex_site_prep_civil*1000000,0)</f>
        <v>0</v>
      </c>
      <c r="M8" s="17" t="n">
        <f aca="false">IF(M$4=opt_start_delay,capex_site_prep_civil*1000000,0)</f>
        <v>0</v>
      </c>
    </row>
    <row r="9" customFormat="false" ht="15" hidden="false" customHeight="false" outlineLevel="0" collapsed="false">
      <c r="A9" s="0" t="s">
        <v>549</v>
      </c>
      <c r="B9" s="0" t="s">
        <v>72</v>
      </c>
      <c r="C9" s="17" t="n">
        <f aca="false">capex_permits_engineering*1000000</f>
        <v>500000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</row>
    <row r="10" customFormat="false" ht="15" hidden="false" customHeight="false" outlineLevel="0" collapsed="false">
      <c r="A10" s="0" t="s">
        <v>550</v>
      </c>
      <c r="B10" s="0" t="s">
        <v>72</v>
      </c>
      <c r="C10" s="17" t="n">
        <f aca="false">IF(C$4=opt_start_delay,opt_extra_capex_y0,0)</f>
        <v>0</v>
      </c>
      <c r="D10" s="17" t="n">
        <f aca="false">IF(D$4=opt_start_delay,opt_extra_capex_y0,0)</f>
        <v>0</v>
      </c>
      <c r="E10" s="17" t="n">
        <f aca="false">IF(E$4=opt_start_delay,opt_extra_capex_y0,0)</f>
        <v>0</v>
      </c>
      <c r="F10" s="17" t="n">
        <f aca="false">IF(F$4=opt_start_delay,opt_extra_capex_y0,0)</f>
        <v>0</v>
      </c>
      <c r="G10" s="17" t="n">
        <f aca="false">IF(G$4=opt_start_delay,opt_extra_capex_y0,0)</f>
        <v>0</v>
      </c>
      <c r="H10" s="17" t="n">
        <f aca="false">IF(H$4=opt_start_delay,opt_extra_capex_y0,0)</f>
        <v>0</v>
      </c>
      <c r="I10" s="17" t="n">
        <f aca="false">IF(I$4=opt_start_delay,opt_extra_capex_y0,0)</f>
        <v>0</v>
      </c>
      <c r="J10" s="17" t="n">
        <f aca="false">IF(J$4=opt_start_delay,opt_extra_capex_y0,0)</f>
        <v>0</v>
      </c>
      <c r="K10" s="17" t="n">
        <f aca="false">IF(K$4=opt_start_delay,opt_extra_capex_y0,0)</f>
        <v>0</v>
      </c>
      <c r="L10" s="17" t="n">
        <f aca="false">IF(L$4=opt_start_delay,opt_extra_capex_y0,0)</f>
        <v>0</v>
      </c>
      <c r="M10" s="17" t="n">
        <f aca="false">IF(M$4=opt_start_delay,opt_extra_capex_y0,0)</f>
        <v>0</v>
      </c>
    </row>
    <row r="11" customFormat="false" ht="15" hidden="false" customHeight="false" outlineLevel="0" collapsed="false">
      <c r="A11" s="0" t="s">
        <v>551</v>
      </c>
      <c r="B11" s="0" t="s">
        <v>72</v>
      </c>
      <c r="C11" s="17" t="n">
        <f aca="false">IF(C$4=opt_start_delay,land_purchase*1000000,0)</f>
        <v>0</v>
      </c>
      <c r="D11" s="17" t="n">
        <f aca="false">IF(D$4=opt_start_delay,land_purchase*1000000,0)</f>
        <v>0</v>
      </c>
      <c r="E11" s="17" t="n">
        <f aca="false">IF(E$4=opt_start_delay,land_purchase*1000000,0)</f>
        <v>0</v>
      </c>
      <c r="F11" s="17" t="n">
        <f aca="false">IF(F$4=opt_start_delay,land_purchase*1000000,0)</f>
        <v>0</v>
      </c>
      <c r="G11" s="17" t="n">
        <f aca="false">IF(G$4=opt_start_delay,land_purchase*1000000,0)</f>
        <v>0</v>
      </c>
      <c r="H11" s="17" t="n">
        <f aca="false">IF(H$4=opt_start_delay,land_purchase*1000000,0)</f>
        <v>0</v>
      </c>
      <c r="I11" s="17" t="n">
        <f aca="false">IF(I$4=opt_start_delay,land_purchase*1000000,0)</f>
        <v>0</v>
      </c>
      <c r="J11" s="17" t="n">
        <f aca="false">IF(J$4=opt_start_delay,land_purchase*1000000,0)</f>
        <v>0</v>
      </c>
      <c r="K11" s="17" t="n">
        <f aca="false">IF(K$4=opt_start_delay,land_purchase*1000000,0)</f>
        <v>0</v>
      </c>
      <c r="L11" s="17" t="n">
        <f aca="false">IF(L$4=opt_start_delay,land_purchase*1000000,0)</f>
        <v>0</v>
      </c>
      <c r="M11" s="17" t="n">
        <f aca="false">IF(M$4=opt_start_delay,land_purchase*1000000,0)</f>
        <v>0</v>
      </c>
    </row>
    <row r="12" customFormat="false" ht="15" hidden="false" customHeight="false" outlineLevel="0" collapsed="false">
      <c r="A12" s="0" t="s">
        <v>552</v>
      </c>
      <c r="B12" s="0" t="s">
        <v>553</v>
      </c>
      <c r="C12" s="18" t="n">
        <f aca="false">MIN(10,MAX(0,ROUND(opt_crusher_start_year-2026,0)-1))</f>
        <v>0</v>
      </c>
    </row>
    <row r="13" customFormat="false" ht="15" hidden="false" customHeight="false" outlineLevel="0" collapsed="false">
      <c r="A13" s="0" t="s">
        <v>554</v>
      </c>
      <c r="B13" s="0" t="s">
        <v>72</v>
      </c>
      <c r="C13" s="17" t="n">
        <f aca="false">IF(C$4=$C$12,opt_crusher_capex,0)</f>
        <v>0</v>
      </c>
      <c r="D13" s="17" t="n">
        <f aca="false">IF(D$4=$C$12,opt_crusher_capex,0)</f>
        <v>0</v>
      </c>
      <c r="E13" s="17" t="n">
        <f aca="false">IF(E$4=$C$12,opt_crusher_capex,0)</f>
        <v>0</v>
      </c>
      <c r="F13" s="17" t="n">
        <f aca="false">IF(F$4=$C$12,opt_crusher_capex,0)</f>
        <v>0</v>
      </c>
      <c r="G13" s="17" t="n">
        <f aca="false">IF(G$4=$C$12,opt_crusher_capex,0)</f>
        <v>0</v>
      </c>
      <c r="H13" s="17" t="n">
        <f aca="false">IF(H$4=$C$12,opt_crusher_capex,0)</f>
        <v>0</v>
      </c>
      <c r="I13" s="17" t="n">
        <f aca="false">IF(I$4=$C$12,opt_crusher_capex,0)</f>
        <v>0</v>
      </c>
      <c r="J13" s="17" t="n">
        <f aca="false">IF(J$4=$C$12,opt_crusher_capex,0)</f>
        <v>0</v>
      </c>
      <c r="K13" s="17" t="n">
        <f aca="false">IF(K$4=$C$12,opt_crusher_capex,0)</f>
        <v>0</v>
      </c>
      <c r="L13" s="17" t="n">
        <f aca="false">IF(L$4=$C$12,opt_crusher_capex,0)</f>
        <v>0</v>
      </c>
      <c r="M13" s="17" t="n">
        <f aca="false">IF(M$4=$C$12,opt_crusher_capex,0)</f>
        <v>0</v>
      </c>
    </row>
    <row r="14" customFormat="false" ht="15" hidden="false" customHeight="false" outlineLevel="0" collapsed="false">
      <c r="A14" s="2" t="s">
        <v>555</v>
      </c>
      <c r="B14" s="8" t="s">
        <v>72</v>
      </c>
      <c r="C14" s="19" t="n">
        <f aca="false">C7+C8+C9+C10+C11+C13</f>
        <v>5500000</v>
      </c>
      <c r="D14" s="19" t="n">
        <f aca="false">D7+D8+D9+D10+D11+D13</f>
        <v>0</v>
      </c>
      <c r="E14" s="19" t="n">
        <f aca="false">E7+E8+E9+E10+E11+E13</f>
        <v>0</v>
      </c>
      <c r="F14" s="19" t="n">
        <f aca="false">F7+F8+F9+F10+F11+F13</f>
        <v>0</v>
      </c>
      <c r="G14" s="19" t="n">
        <f aca="false">G7+G8+G9+G10+G11+G13</f>
        <v>0</v>
      </c>
      <c r="H14" s="19" t="n">
        <f aca="false">H7+H8+H9+H10+H11+H13</f>
        <v>0</v>
      </c>
      <c r="I14" s="19" t="n">
        <f aca="false">I7+I8+I9+I10+I11+I13</f>
        <v>0</v>
      </c>
      <c r="J14" s="19" t="n">
        <f aca="false">J7+J8+J9+J10+J11+J13</f>
        <v>0</v>
      </c>
      <c r="K14" s="19" t="n">
        <f aca="false">K7+K8+K9+K10+K11+K13</f>
        <v>0</v>
      </c>
      <c r="L14" s="19" t="n">
        <f aca="false">L7+L8+L9+L10+L11+L13</f>
        <v>0</v>
      </c>
      <c r="M14" s="19" t="n">
        <f aca="false">M7+M8+M9+M10+M11+M13</f>
        <v>0</v>
      </c>
    </row>
    <row r="15" customFormat="false" ht="15" hidden="false" customHeight="false" outlineLevel="0" collapsed="false">
      <c r="A15" s="0" t="s">
        <v>556</v>
      </c>
      <c r="B15" s="0" t="s">
        <v>72</v>
      </c>
      <c r="C15" s="17" t="n">
        <f aca="false">SUM(Capex!$C$7:$M$7)+SUM(Capex!$C$8:$M$8)</f>
        <v>5000000</v>
      </c>
    </row>
    <row r="17" customFormat="false" ht="15" hidden="false" customHeight="false" outlineLevel="0" collapsed="false">
      <c r="A17" s="9" t="s">
        <v>557</v>
      </c>
    </row>
    <row r="18" customFormat="false" ht="15" hidden="false" customHeight="false" outlineLevel="0" collapsed="false">
      <c r="A18" s="0" t="s">
        <v>558</v>
      </c>
      <c r="B18" s="0" t="s">
        <v>72</v>
      </c>
      <c r="C18" s="17" t="n">
        <f aca="false">IF(C$4=opt_start_delay,capex_lca_epd_one_off+capex_preopening_costs,0)</f>
        <v>380000</v>
      </c>
      <c r="D18" s="17" t="n">
        <f aca="false">IF(D$4=opt_start_delay,capex_lca_epd_one_off+capex_preopening_costs,0)</f>
        <v>0</v>
      </c>
      <c r="E18" s="17" t="n">
        <f aca="false">IF(E$4=opt_start_delay,capex_lca_epd_one_off+capex_preopening_costs,0)</f>
        <v>0</v>
      </c>
      <c r="F18" s="17" t="n">
        <f aca="false">IF(F$4=opt_start_delay,capex_lca_epd_one_off+capex_preopening_costs,0)</f>
        <v>0</v>
      </c>
      <c r="G18" s="17" t="n">
        <f aca="false">IF(G$4=opt_start_delay,capex_lca_epd_one_off+capex_preopening_costs,0)</f>
        <v>0</v>
      </c>
      <c r="H18" s="17" t="n">
        <f aca="false">IF(H$4=opt_start_delay,capex_lca_epd_one_off+capex_preopening_costs,0)</f>
        <v>0</v>
      </c>
      <c r="I18" s="17" t="n">
        <f aca="false">IF(I$4=opt_start_delay,capex_lca_epd_one_off+capex_preopening_costs,0)</f>
        <v>0</v>
      </c>
      <c r="J18" s="17" t="n">
        <f aca="false">IF(J$4=opt_start_delay,capex_lca_epd_one_off+capex_preopening_costs,0)</f>
        <v>0</v>
      </c>
      <c r="K18" s="17" t="n">
        <f aca="false">IF(K$4=opt_start_delay,capex_lca_epd_one_off+capex_preopening_costs,0)</f>
        <v>0</v>
      </c>
      <c r="L18" s="17" t="n">
        <f aca="false">IF(L$4=opt_start_delay,capex_lca_epd_one_off+capex_preopening_costs,0)</f>
        <v>0</v>
      </c>
      <c r="M18" s="17" t="n">
        <f aca="false">IF(M$4=opt_start_delay,capex_lca_epd_one_off+capex_preopening_costs,0)</f>
        <v>0</v>
      </c>
    </row>
    <row r="19" customFormat="false" ht="15" hidden="false" customHeight="false" outlineLevel="0" collapsed="false">
      <c r="A19" s="0" t="s">
        <v>559</v>
      </c>
      <c r="B19" s="0" t="s">
        <v>72</v>
      </c>
      <c r="C19" s="17" t="n">
        <f aca="false">IF(C$4=opt_start_delay,grant_dei_veki_first_plant*1000000,0)</f>
        <v>400000</v>
      </c>
      <c r="D19" s="17" t="n">
        <f aca="false">IF(D$4=opt_start_delay,grant_dei_veki_first_plant*1000000,0)</f>
        <v>0</v>
      </c>
      <c r="E19" s="17" t="n">
        <f aca="false">IF(E$4=opt_start_delay,grant_dei_veki_first_plant*1000000,0)</f>
        <v>0</v>
      </c>
      <c r="F19" s="17" t="n">
        <f aca="false">IF(F$4=opt_start_delay,grant_dei_veki_first_plant*1000000,0)</f>
        <v>0</v>
      </c>
      <c r="G19" s="17" t="n">
        <f aca="false">IF(G$4=opt_start_delay,grant_dei_veki_first_plant*1000000,0)</f>
        <v>0</v>
      </c>
      <c r="H19" s="17" t="n">
        <f aca="false">IF(H$4=opt_start_delay,grant_dei_veki_first_plant*1000000,0)</f>
        <v>0</v>
      </c>
      <c r="I19" s="17" t="n">
        <f aca="false">IF(I$4=opt_start_delay,grant_dei_veki_first_plant*1000000,0)</f>
        <v>0</v>
      </c>
      <c r="J19" s="17" t="n">
        <f aca="false">IF(J$4=opt_start_delay,grant_dei_veki_first_plant*1000000,0)</f>
        <v>0</v>
      </c>
      <c r="K19" s="17" t="n">
        <f aca="false">IF(K$4=opt_start_delay,grant_dei_veki_first_plant*1000000,0)</f>
        <v>0</v>
      </c>
      <c r="L19" s="17" t="n">
        <f aca="false">IF(L$4=opt_start_delay,grant_dei_veki_first_plant*1000000,0)</f>
        <v>0</v>
      </c>
      <c r="M19" s="17" t="n">
        <f aca="false">IF(M$4=opt_start_delay,grant_dei_veki_first_plant*1000000,0)</f>
        <v>0</v>
      </c>
    </row>
    <row r="20" customFormat="false" ht="15" hidden="false" customHeight="false" outlineLevel="0" collapsed="false">
      <c r="A20" s="0" t="s">
        <v>560</v>
      </c>
      <c r="B20" s="0" t="s">
        <v>72</v>
      </c>
      <c r="C20" s="17" t="n">
        <f aca="false">IF(C$4=opt_start_delay,mia_eligible_share_of_capex/100*$C$15*mia_net_value_pct_eligible_capex/tax_rate_vpb_high_bracket,0)+IF(C$4=$C$12,opt_crusher_mia_share_pct/100*opt_crusher_capex*mia_net_value_pct_eligible_capex/tax_rate_vpb_high_bracket,0)</f>
        <v>360465.11627907</v>
      </c>
      <c r="D20" s="17" t="n">
        <f aca="false">IF(D$4=opt_start_delay,mia_eligible_share_of_capex/100*$C$15*mia_net_value_pct_eligible_capex/tax_rate_vpb_high_bracket,0)+IF(D$4=$C$12,opt_crusher_mia_share_pct/100*opt_crusher_capex*mia_net_value_pct_eligible_capex/tax_rate_vpb_high_bracket,0)</f>
        <v>0</v>
      </c>
      <c r="E20" s="17" t="n">
        <f aca="false">IF(E$4=opt_start_delay,mia_eligible_share_of_capex/100*$C$15*mia_net_value_pct_eligible_capex/tax_rate_vpb_high_bracket,0)+IF(E$4=$C$12,opt_crusher_mia_share_pct/100*opt_crusher_capex*mia_net_value_pct_eligible_capex/tax_rate_vpb_high_bracket,0)</f>
        <v>0</v>
      </c>
      <c r="F20" s="17" t="n">
        <f aca="false">IF(F$4=opt_start_delay,mia_eligible_share_of_capex/100*$C$15*mia_net_value_pct_eligible_capex/tax_rate_vpb_high_bracket,0)+IF(F$4=$C$12,opt_crusher_mia_share_pct/100*opt_crusher_capex*mia_net_value_pct_eligible_capex/tax_rate_vpb_high_bracket,0)</f>
        <v>0</v>
      </c>
      <c r="G20" s="17" t="n">
        <f aca="false">IF(G$4=opt_start_delay,mia_eligible_share_of_capex/100*$C$15*mia_net_value_pct_eligible_capex/tax_rate_vpb_high_bracket,0)+IF(G$4=$C$12,opt_crusher_mia_share_pct/100*opt_crusher_capex*mia_net_value_pct_eligible_capex/tax_rate_vpb_high_bracket,0)</f>
        <v>0</v>
      </c>
      <c r="H20" s="17" t="n">
        <f aca="false">IF(H$4=opt_start_delay,mia_eligible_share_of_capex/100*$C$15*mia_net_value_pct_eligible_capex/tax_rate_vpb_high_bracket,0)+IF(H$4=$C$12,opt_crusher_mia_share_pct/100*opt_crusher_capex*mia_net_value_pct_eligible_capex/tax_rate_vpb_high_bracket,0)</f>
        <v>0</v>
      </c>
      <c r="I20" s="17" t="n">
        <f aca="false">IF(I$4=opt_start_delay,mia_eligible_share_of_capex/100*$C$15*mia_net_value_pct_eligible_capex/tax_rate_vpb_high_bracket,0)+IF(I$4=$C$12,opt_crusher_mia_share_pct/100*opt_crusher_capex*mia_net_value_pct_eligible_capex/tax_rate_vpb_high_bracket,0)</f>
        <v>0</v>
      </c>
      <c r="J20" s="17" t="n">
        <f aca="false">IF(J$4=opt_start_delay,mia_eligible_share_of_capex/100*$C$15*mia_net_value_pct_eligible_capex/tax_rate_vpb_high_bracket,0)+IF(J$4=$C$12,opt_crusher_mia_share_pct/100*opt_crusher_capex*mia_net_value_pct_eligible_capex/tax_rate_vpb_high_bracket,0)</f>
        <v>0</v>
      </c>
      <c r="K20" s="17" t="n">
        <f aca="false">IF(K$4=opt_start_delay,mia_eligible_share_of_capex/100*$C$15*mia_net_value_pct_eligible_capex/tax_rate_vpb_high_bracket,0)+IF(K$4=$C$12,opt_crusher_mia_share_pct/100*opt_crusher_capex*mia_net_value_pct_eligible_capex/tax_rate_vpb_high_bracket,0)</f>
        <v>0</v>
      </c>
      <c r="L20" s="17" t="n">
        <f aca="false">IF(L$4=opt_start_delay,mia_eligible_share_of_capex/100*$C$15*mia_net_value_pct_eligible_capex/tax_rate_vpb_high_bracket,0)+IF(L$4=$C$12,opt_crusher_mia_share_pct/100*opt_crusher_capex*mia_net_value_pct_eligible_capex/tax_rate_vpb_high_bracket,0)</f>
        <v>0</v>
      </c>
      <c r="M20" s="17" t="n">
        <f aca="false">IF(M$4=opt_start_delay,mia_eligible_share_of_capex/100*$C$15*mia_net_value_pct_eligible_capex/tax_rate_vpb_high_bracket,0)+IF(M$4=$C$12,opt_crusher_mia_share_pct/100*opt_crusher_capex*mia_net_value_pct_eligible_capex/tax_rate_vpb_high_bracket,0)</f>
        <v>0</v>
      </c>
    </row>
    <row r="22" customFormat="false" ht="15" hidden="false" customHeight="false" outlineLevel="0" collapsed="false">
      <c r="A22" s="9" t="s">
        <v>561</v>
      </c>
    </row>
    <row r="23" customFormat="false" ht="15" hidden="false" customHeight="false" outlineLevel="0" collapsed="false">
      <c r="A23" s="0" t="s">
        <v>562</v>
      </c>
      <c r="B23" s="0" t="s">
        <v>72</v>
      </c>
      <c r="C23" s="17" t="n">
        <f aca="false">IF(C$4&gt;=(1+opt_start_delay),sustaining_capex_pct_of_capex/100*$C$15,0)</f>
        <v>0</v>
      </c>
      <c r="D23" s="17" t="n">
        <f aca="false">IF(D$4&gt;=(1+opt_start_delay),sustaining_capex_pct_of_capex/100*$C$15,0)</f>
        <v>50000</v>
      </c>
      <c r="E23" s="17" t="n">
        <f aca="false">IF(E$4&gt;=(1+opt_start_delay),sustaining_capex_pct_of_capex/100*$C$15,0)</f>
        <v>50000</v>
      </c>
      <c r="F23" s="17" t="n">
        <f aca="false">IF(F$4&gt;=(1+opt_start_delay),sustaining_capex_pct_of_capex/100*$C$15,0)</f>
        <v>50000</v>
      </c>
      <c r="G23" s="17" t="n">
        <f aca="false">IF(G$4&gt;=(1+opt_start_delay),sustaining_capex_pct_of_capex/100*$C$15,0)</f>
        <v>50000</v>
      </c>
      <c r="H23" s="17" t="n">
        <f aca="false">IF(H$4&gt;=(1+opt_start_delay),sustaining_capex_pct_of_capex/100*$C$15,0)</f>
        <v>50000</v>
      </c>
      <c r="I23" s="17" t="n">
        <f aca="false">IF(I$4&gt;=(1+opt_start_delay),sustaining_capex_pct_of_capex/100*$C$15,0)</f>
        <v>50000</v>
      </c>
      <c r="J23" s="17" t="n">
        <f aca="false">IF(J$4&gt;=(1+opt_start_delay),sustaining_capex_pct_of_capex/100*$C$15,0)</f>
        <v>50000</v>
      </c>
      <c r="K23" s="17" t="n">
        <f aca="false">IF(K$4&gt;=(1+opt_start_delay),sustaining_capex_pct_of_capex/100*$C$15,0)</f>
        <v>50000</v>
      </c>
      <c r="L23" s="17" t="n">
        <f aca="false">IF(L$4&gt;=(1+opt_start_delay),sustaining_capex_pct_of_capex/100*$C$15,0)</f>
        <v>50000</v>
      </c>
      <c r="M23" s="17" t="n">
        <f aca="false">IF(M$4&gt;=(1+opt_start_delay),sustaining_capex_pct_of_capex/100*$C$15,0)</f>
        <v>50000</v>
      </c>
    </row>
    <row r="24" customFormat="false" ht="15" hidden="false" customHeight="false" outlineLevel="0" collapsed="false">
      <c r="A24" s="0" t="s">
        <v>563</v>
      </c>
      <c r="B24" s="0" t="s">
        <v>72</v>
      </c>
      <c r="C24" s="17" t="n">
        <f aca="false">IF(AND(C$4&gt;=(1+opt_start_delay),C$4&lt;(1+opt_start_delay)+lifetime_plant_equipment),(SUM(Capex!$C$7:$M$7)+SUM(Capex!$C$10:$M$10))/lifetime_plant_equipment,0)</f>
        <v>0</v>
      </c>
      <c r="D24" s="17" t="n">
        <f aca="false">IF(AND(D$4&gt;=(1+opt_start_delay),D$4&lt;(1+opt_start_delay)+lifetime_plant_equipment),(SUM(Capex!$C$7:$M$7)+SUM(Capex!$C$10:$M$10))/lifetime_plant_equipment,0)</f>
        <v>160000</v>
      </c>
      <c r="E24" s="17" t="n">
        <f aca="false">IF(AND(E$4&gt;=(1+opt_start_delay),E$4&lt;(1+opt_start_delay)+lifetime_plant_equipment),(SUM(Capex!$C$7:$M$7)+SUM(Capex!$C$10:$M$10))/lifetime_plant_equipment,0)</f>
        <v>160000</v>
      </c>
      <c r="F24" s="17" t="n">
        <f aca="false">IF(AND(F$4&gt;=(1+opt_start_delay),F$4&lt;(1+opt_start_delay)+lifetime_plant_equipment),(SUM(Capex!$C$7:$M$7)+SUM(Capex!$C$10:$M$10))/lifetime_plant_equipment,0)</f>
        <v>160000</v>
      </c>
      <c r="G24" s="17" t="n">
        <f aca="false">IF(AND(G$4&gt;=(1+opt_start_delay),G$4&lt;(1+opt_start_delay)+lifetime_plant_equipment),(SUM(Capex!$C$7:$M$7)+SUM(Capex!$C$10:$M$10))/lifetime_plant_equipment,0)</f>
        <v>160000</v>
      </c>
      <c r="H24" s="17" t="n">
        <f aca="false">IF(AND(H$4&gt;=(1+opt_start_delay),H$4&lt;(1+opt_start_delay)+lifetime_plant_equipment),(SUM(Capex!$C$7:$M$7)+SUM(Capex!$C$10:$M$10))/lifetime_plant_equipment,0)</f>
        <v>160000</v>
      </c>
      <c r="I24" s="17" t="n">
        <f aca="false">IF(AND(I$4&gt;=(1+opt_start_delay),I$4&lt;(1+opt_start_delay)+lifetime_plant_equipment),(SUM(Capex!$C$7:$M$7)+SUM(Capex!$C$10:$M$10))/lifetime_plant_equipment,0)</f>
        <v>160000</v>
      </c>
      <c r="J24" s="17" t="n">
        <f aca="false">IF(AND(J$4&gt;=(1+opt_start_delay),J$4&lt;(1+opt_start_delay)+lifetime_plant_equipment),(SUM(Capex!$C$7:$M$7)+SUM(Capex!$C$10:$M$10))/lifetime_plant_equipment,0)</f>
        <v>160000</v>
      </c>
      <c r="K24" s="17" t="n">
        <f aca="false">IF(AND(K$4&gt;=(1+opt_start_delay),K$4&lt;(1+opt_start_delay)+lifetime_plant_equipment),(SUM(Capex!$C$7:$M$7)+SUM(Capex!$C$10:$M$10))/lifetime_plant_equipment,0)</f>
        <v>160000</v>
      </c>
      <c r="L24" s="17" t="n">
        <f aca="false">IF(AND(L$4&gt;=(1+opt_start_delay),L$4&lt;(1+opt_start_delay)+lifetime_plant_equipment),(SUM(Capex!$C$7:$M$7)+SUM(Capex!$C$10:$M$10))/lifetime_plant_equipment,0)</f>
        <v>160000</v>
      </c>
      <c r="M24" s="17" t="n">
        <f aca="false">IF(AND(M$4&gt;=(1+opt_start_delay),M$4&lt;(1+opt_start_delay)+lifetime_plant_equipment),(SUM(Capex!$C$7:$M$7)+SUM(Capex!$C$10:$M$10))/lifetime_plant_equipment,0)</f>
        <v>160000</v>
      </c>
    </row>
    <row r="25" customFormat="false" ht="15" hidden="false" customHeight="false" outlineLevel="0" collapsed="false">
      <c r="A25" s="0" t="s">
        <v>564</v>
      </c>
      <c r="B25" s="0" t="s">
        <v>72</v>
      </c>
      <c r="C25" s="17" t="n">
        <f aca="false">IF(AND(C$4&gt;=(1+opt_start_delay),C$4&lt;(1+opt_start_delay)+lifetime_civil_works),SUM(Capex!$C$8:$M$8)/lifetime_civil_works,0)</f>
        <v>0</v>
      </c>
      <c r="D25" s="17" t="n">
        <f aca="false">IF(AND(D$4&gt;=(1+opt_start_delay),D$4&lt;(1+opt_start_delay)+lifetime_civil_works),SUM(Capex!$C$8:$M$8)/lifetime_civil_works,0)</f>
        <v>40000</v>
      </c>
      <c r="E25" s="17" t="n">
        <f aca="false">IF(AND(E$4&gt;=(1+opt_start_delay),E$4&lt;(1+opt_start_delay)+lifetime_civil_works),SUM(Capex!$C$8:$M$8)/lifetime_civil_works,0)</f>
        <v>40000</v>
      </c>
      <c r="F25" s="17" t="n">
        <f aca="false">IF(AND(F$4&gt;=(1+opt_start_delay),F$4&lt;(1+opt_start_delay)+lifetime_civil_works),SUM(Capex!$C$8:$M$8)/lifetime_civil_works,0)</f>
        <v>40000</v>
      </c>
      <c r="G25" s="17" t="n">
        <f aca="false">IF(AND(G$4&gt;=(1+opt_start_delay),G$4&lt;(1+opt_start_delay)+lifetime_civil_works),SUM(Capex!$C$8:$M$8)/lifetime_civil_works,0)</f>
        <v>40000</v>
      </c>
      <c r="H25" s="17" t="n">
        <f aca="false">IF(AND(H$4&gt;=(1+opt_start_delay),H$4&lt;(1+opt_start_delay)+lifetime_civil_works),SUM(Capex!$C$8:$M$8)/lifetime_civil_works,0)</f>
        <v>40000</v>
      </c>
      <c r="I25" s="17" t="n">
        <f aca="false">IF(AND(I$4&gt;=(1+opt_start_delay),I$4&lt;(1+opt_start_delay)+lifetime_civil_works),SUM(Capex!$C$8:$M$8)/lifetime_civil_works,0)</f>
        <v>40000</v>
      </c>
      <c r="J25" s="17" t="n">
        <f aca="false">IF(AND(J$4&gt;=(1+opt_start_delay),J$4&lt;(1+opt_start_delay)+lifetime_civil_works),SUM(Capex!$C$8:$M$8)/lifetime_civil_works,0)</f>
        <v>40000</v>
      </c>
      <c r="K25" s="17" t="n">
        <f aca="false">IF(AND(K$4&gt;=(1+opt_start_delay),K$4&lt;(1+opt_start_delay)+lifetime_civil_works),SUM(Capex!$C$8:$M$8)/lifetime_civil_works,0)</f>
        <v>40000</v>
      </c>
      <c r="L25" s="17" t="n">
        <f aca="false">IF(AND(L$4&gt;=(1+opt_start_delay),L$4&lt;(1+opt_start_delay)+lifetime_civil_works),SUM(Capex!$C$8:$M$8)/lifetime_civil_works,0)</f>
        <v>40000</v>
      </c>
      <c r="M25" s="17" t="n">
        <f aca="false">IF(AND(M$4&gt;=(1+opt_start_delay),M$4&lt;(1+opt_start_delay)+lifetime_civil_works),SUM(Capex!$C$8:$M$8)/lifetime_civil_works,0)</f>
        <v>40000</v>
      </c>
    </row>
    <row r="26" customFormat="false" ht="15" hidden="false" customHeight="false" outlineLevel="0" collapsed="false">
      <c r="A26" s="0" t="s">
        <v>565</v>
      </c>
      <c r="B26" s="0" t="s">
        <v>72</v>
      </c>
      <c r="C26" s="17" t="n">
        <f aca="false">IF(AND(C$4&gt;=(1+opt_start_delay),C$4&lt;(1+opt_start_delay)+lifetime_permits_engineering),$C$9/lifetime_permits_engineering,0)</f>
        <v>0</v>
      </c>
      <c r="D26" s="17" t="n">
        <f aca="false">IF(AND(D$4&gt;=(1+opt_start_delay),D$4&lt;(1+opt_start_delay)+lifetime_permits_engineering),$C$9/lifetime_permits_engineering,0)</f>
        <v>50000</v>
      </c>
      <c r="E26" s="17" t="n">
        <f aca="false">IF(AND(E$4&gt;=(1+opt_start_delay),E$4&lt;(1+opt_start_delay)+lifetime_permits_engineering),$C$9/lifetime_permits_engineering,0)</f>
        <v>50000</v>
      </c>
      <c r="F26" s="17" t="n">
        <f aca="false">IF(AND(F$4&gt;=(1+opt_start_delay),F$4&lt;(1+opt_start_delay)+lifetime_permits_engineering),$C$9/lifetime_permits_engineering,0)</f>
        <v>50000</v>
      </c>
      <c r="G26" s="17" t="n">
        <f aca="false">IF(AND(G$4&gt;=(1+opt_start_delay),G$4&lt;(1+opt_start_delay)+lifetime_permits_engineering),$C$9/lifetime_permits_engineering,0)</f>
        <v>50000</v>
      </c>
      <c r="H26" s="17" t="n">
        <f aca="false">IF(AND(H$4&gt;=(1+opt_start_delay),H$4&lt;(1+opt_start_delay)+lifetime_permits_engineering),$C$9/lifetime_permits_engineering,0)</f>
        <v>50000</v>
      </c>
      <c r="I26" s="17" t="n">
        <f aca="false">IF(AND(I$4&gt;=(1+opt_start_delay),I$4&lt;(1+opt_start_delay)+lifetime_permits_engineering),$C$9/lifetime_permits_engineering,0)</f>
        <v>50000</v>
      </c>
      <c r="J26" s="17" t="n">
        <f aca="false">IF(AND(J$4&gt;=(1+opt_start_delay),J$4&lt;(1+opt_start_delay)+lifetime_permits_engineering),$C$9/lifetime_permits_engineering,0)</f>
        <v>50000</v>
      </c>
      <c r="K26" s="17" t="n">
        <f aca="false">IF(AND(K$4&gt;=(1+opt_start_delay),K$4&lt;(1+opt_start_delay)+lifetime_permits_engineering),$C$9/lifetime_permits_engineering,0)</f>
        <v>50000</v>
      </c>
      <c r="L26" s="17" t="n">
        <f aca="false">IF(AND(L$4&gt;=(1+opt_start_delay),L$4&lt;(1+opt_start_delay)+lifetime_permits_engineering),$C$9/lifetime_permits_engineering,0)</f>
        <v>50000</v>
      </c>
      <c r="M26" s="17" t="n">
        <f aca="false">IF(AND(M$4&gt;=(1+opt_start_delay),M$4&lt;(1+opt_start_delay)+lifetime_permits_engineering),$C$9/lifetime_permits_engineering,0)</f>
        <v>50000</v>
      </c>
    </row>
    <row r="27" customFormat="false" ht="15" hidden="false" customHeight="false" outlineLevel="0" collapsed="false">
      <c r="A27" s="0" t="s">
        <v>566</v>
      </c>
      <c r="B27" s="0" t="s">
        <v>72</v>
      </c>
      <c r="C27" s="17" t="n">
        <f aca="false">IF(AND(C$4&gt;=$C$12+1,C$4&lt;$C$12+1+hybrid_crusher_lifetime),opt_crusher_capex/hybrid_crusher_lifetime,0)</f>
        <v>0</v>
      </c>
      <c r="D27" s="17" t="n">
        <f aca="false">IF(AND(D$4&gt;=$C$12+1,D$4&lt;$C$12+1+hybrid_crusher_lifetime),opt_crusher_capex/hybrid_crusher_lifetime,0)</f>
        <v>0</v>
      </c>
      <c r="E27" s="17" t="n">
        <f aca="false">IF(AND(E$4&gt;=$C$12+1,E$4&lt;$C$12+1+hybrid_crusher_lifetime),opt_crusher_capex/hybrid_crusher_lifetime,0)</f>
        <v>0</v>
      </c>
      <c r="F27" s="17" t="n">
        <f aca="false">IF(AND(F$4&gt;=$C$12+1,F$4&lt;$C$12+1+hybrid_crusher_lifetime),opt_crusher_capex/hybrid_crusher_lifetime,0)</f>
        <v>0</v>
      </c>
      <c r="G27" s="17" t="n">
        <f aca="false">IF(AND(G$4&gt;=$C$12+1,G$4&lt;$C$12+1+hybrid_crusher_lifetime),opt_crusher_capex/hybrid_crusher_lifetime,0)</f>
        <v>0</v>
      </c>
      <c r="H27" s="17" t="n">
        <f aca="false">IF(AND(H$4&gt;=$C$12+1,H$4&lt;$C$12+1+hybrid_crusher_lifetime),opt_crusher_capex/hybrid_crusher_lifetime,0)</f>
        <v>0</v>
      </c>
      <c r="I27" s="17" t="n">
        <f aca="false">IF(AND(I$4&gt;=$C$12+1,I$4&lt;$C$12+1+hybrid_crusher_lifetime),opt_crusher_capex/hybrid_crusher_lifetime,0)</f>
        <v>0</v>
      </c>
      <c r="J27" s="17" t="n">
        <f aca="false">IF(AND(J$4&gt;=$C$12+1,J$4&lt;$C$12+1+hybrid_crusher_lifetime),opt_crusher_capex/hybrid_crusher_lifetime,0)</f>
        <v>0</v>
      </c>
      <c r="K27" s="17" t="n">
        <f aca="false">IF(AND(K$4&gt;=$C$12+1,K$4&lt;$C$12+1+hybrid_crusher_lifetime),opt_crusher_capex/hybrid_crusher_lifetime,0)</f>
        <v>0</v>
      </c>
      <c r="L27" s="17" t="n">
        <f aca="false">IF(AND(L$4&gt;=$C$12+1,L$4&lt;$C$12+1+hybrid_crusher_lifetime),opt_crusher_capex/hybrid_crusher_lifetime,0)</f>
        <v>0</v>
      </c>
      <c r="M27" s="17" t="n">
        <f aca="false">IF(AND(M$4&gt;=$C$12+1,M$4&lt;$C$12+1+hybrid_crusher_lifetime),opt_crusher_capex/hybrid_crusher_lifetime,0)</f>
        <v>0</v>
      </c>
    </row>
    <row r="28" customFormat="false" ht="15" hidden="false" customHeight="false" outlineLevel="0" collapsed="false">
      <c r="A28" s="0" t="s">
        <v>567</v>
      </c>
      <c r="B28" s="0" t="s">
        <v>72</v>
      </c>
      <c r="C28" s="17" t="n">
        <f aca="false">SUM($C$23:C23)/lifetime_plant_equipment</f>
        <v>0</v>
      </c>
      <c r="D28" s="17" t="n">
        <f aca="false">SUM($C$23:D23)/lifetime_plant_equipment</f>
        <v>2000</v>
      </c>
      <c r="E28" s="17" t="n">
        <f aca="false">SUM($C$23:E23)/lifetime_plant_equipment</f>
        <v>4000</v>
      </c>
      <c r="F28" s="17" t="n">
        <f aca="false">SUM($C$23:F23)/lifetime_plant_equipment</f>
        <v>6000</v>
      </c>
      <c r="G28" s="17" t="n">
        <f aca="false">SUM($C$23:G23)/lifetime_plant_equipment</f>
        <v>8000</v>
      </c>
      <c r="H28" s="17" t="n">
        <f aca="false">SUM($C$23:H23)/lifetime_plant_equipment</f>
        <v>10000</v>
      </c>
      <c r="I28" s="17" t="n">
        <f aca="false">SUM($C$23:I23)/lifetime_plant_equipment</f>
        <v>12000</v>
      </c>
      <c r="J28" s="17" t="n">
        <f aca="false">SUM($C$23:J23)/lifetime_plant_equipment</f>
        <v>14000</v>
      </c>
      <c r="K28" s="17" t="n">
        <f aca="false">SUM($C$23:K23)/lifetime_plant_equipment</f>
        <v>16000</v>
      </c>
      <c r="L28" s="17" t="n">
        <f aca="false">SUM($C$23:L23)/lifetime_plant_equipment</f>
        <v>18000</v>
      </c>
      <c r="M28" s="17" t="n">
        <f aca="false">SUM($C$23:M23)/lifetime_plant_equipment</f>
        <v>20000</v>
      </c>
    </row>
    <row r="29" customFormat="false" ht="15" hidden="false" customHeight="false" outlineLevel="0" collapsed="false">
      <c r="A29" s="2" t="s">
        <v>568</v>
      </c>
      <c r="B29" s="8" t="s">
        <v>72</v>
      </c>
      <c r="C29" s="19" t="n">
        <f aca="false">C24+C25+C26+C27+C28</f>
        <v>0</v>
      </c>
      <c r="D29" s="19" t="n">
        <f aca="false">D24+D25+D26+D27+D28</f>
        <v>252000</v>
      </c>
      <c r="E29" s="19" t="n">
        <f aca="false">E24+E25+E26+E27+E28</f>
        <v>254000</v>
      </c>
      <c r="F29" s="19" t="n">
        <f aca="false">F24+F25+F26+F27+F28</f>
        <v>256000</v>
      </c>
      <c r="G29" s="19" t="n">
        <f aca="false">G24+G25+G26+G27+G28</f>
        <v>258000</v>
      </c>
      <c r="H29" s="19" t="n">
        <f aca="false">H24+H25+H26+H27+H28</f>
        <v>260000</v>
      </c>
      <c r="I29" s="19" t="n">
        <f aca="false">I24+I25+I26+I27+I28</f>
        <v>262000</v>
      </c>
      <c r="J29" s="19" t="n">
        <f aca="false">J24+J25+J26+J27+J28</f>
        <v>264000</v>
      </c>
      <c r="K29" s="19" t="n">
        <f aca="false">K24+K25+K26+K27+K28</f>
        <v>266000</v>
      </c>
      <c r="L29" s="19" t="n">
        <f aca="false">L24+L25+L26+L27+L28</f>
        <v>268000</v>
      </c>
      <c r="M29" s="19" t="n">
        <f aca="false">M24+M25+M26+M27+M28</f>
        <v>270000</v>
      </c>
    </row>
    <row r="30" customFormat="false" ht="15" hidden="false" customHeight="false" outlineLevel="0" collapsed="false">
      <c r="A30" s="0" t="s">
        <v>569</v>
      </c>
      <c r="B30" s="0" t="s">
        <v>72</v>
      </c>
      <c r="C30" s="17" t="n">
        <f aca="false">SUM($C$14:C14)-SUM($C$11:C11)+SUM($C$23:C23)-SUM($C$29:C29)</f>
        <v>5500000</v>
      </c>
      <c r="D30" s="17" t="n">
        <f aca="false">SUM($C$14:D14)-SUM($C$11:D11)+SUM($C$23:D23)-SUM($C$29:D29)</f>
        <v>5298000</v>
      </c>
      <c r="E30" s="17" t="n">
        <f aca="false">SUM($C$14:E14)-SUM($C$11:E11)+SUM($C$23:E23)-SUM($C$29:E29)</f>
        <v>5094000</v>
      </c>
      <c r="F30" s="17" t="n">
        <f aca="false">SUM($C$14:F14)-SUM($C$11:F11)+SUM($C$23:F23)-SUM($C$29:F29)</f>
        <v>4888000</v>
      </c>
      <c r="G30" s="17" t="n">
        <f aca="false">SUM($C$14:G14)-SUM($C$11:G11)+SUM($C$23:G23)-SUM($C$29:G29)</f>
        <v>4680000</v>
      </c>
      <c r="H30" s="17" t="n">
        <f aca="false">SUM($C$14:H14)-SUM($C$11:H11)+SUM($C$23:H23)-SUM($C$29:H29)</f>
        <v>4470000</v>
      </c>
      <c r="I30" s="17" t="n">
        <f aca="false">SUM($C$14:I14)-SUM($C$11:I11)+SUM($C$23:I23)-SUM($C$29:I29)</f>
        <v>4258000</v>
      </c>
      <c r="J30" s="17" t="n">
        <f aca="false">SUM($C$14:J14)-SUM($C$11:J11)+SUM($C$23:J23)-SUM($C$29:J29)</f>
        <v>4044000</v>
      </c>
      <c r="K30" s="17" t="n">
        <f aca="false">SUM($C$14:K14)-SUM($C$11:K11)+SUM($C$23:K23)-SUM($C$29:K29)</f>
        <v>3828000</v>
      </c>
      <c r="L30" s="17" t="n">
        <f aca="false">SUM($C$14:L14)-SUM($C$11:L11)+SUM($C$23:L23)-SUM($C$29:L29)</f>
        <v>3610000</v>
      </c>
      <c r="M30" s="17" t="n">
        <f aca="false">SUM($C$14:M14)-SUM($C$11:M11)+SUM($C$23:M23)-SUM($C$29:M29)</f>
        <v>3390000</v>
      </c>
    </row>
    <row r="31" customFormat="false" ht="15" hidden="false" customHeight="false" outlineLevel="0" collapsed="false">
      <c r="A31" s="0" t="s">
        <v>570</v>
      </c>
      <c r="B31" s="0" t="s">
        <v>72</v>
      </c>
      <c r="C31" s="17" t="n">
        <f aca="false">IF(C$4=10,salvage_value_yr10_pct_of_plant_civil_capex/100*$C$15+opt_crusher_salvage_pct/100*opt_crusher_capex,0)</f>
        <v>0</v>
      </c>
      <c r="D31" s="17" t="n">
        <f aca="false">IF(D$4=10,salvage_value_yr10_pct_of_plant_civil_capex/100*$C$15+opt_crusher_salvage_pct/100*opt_crusher_capex,0)</f>
        <v>0</v>
      </c>
      <c r="E31" s="17" t="n">
        <f aca="false">IF(E$4=10,salvage_value_yr10_pct_of_plant_civil_capex/100*$C$15+opt_crusher_salvage_pct/100*opt_crusher_capex,0)</f>
        <v>0</v>
      </c>
      <c r="F31" s="17" t="n">
        <f aca="false">IF(F$4=10,salvage_value_yr10_pct_of_plant_civil_capex/100*$C$15+opt_crusher_salvage_pct/100*opt_crusher_capex,0)</f>
        <v>0</v>
      </c>
      <c r="G31" s="17" t="n">
        <f aca="false">IF(G$4=10,salvage_value_yr10_pct_of_plant_civil_capex/100*$C$15+opt_crusher_salvage_pct/100*opt_crusher_capex,0)</f>
        <v>0</v>
      </c>
      <c r="H31" s="17" t="n">
        <f aca="false">IF(H$4=10,salvage_value_yr10_pct_of_plant_civil_capex/100*$C$15+opt_crusher_salvage_pct/100*opt_crusher_capex,0)</f>
        <v>0</v>
      </c>
      <c r="I31" s="17" t="n">
        <f aca="false">IF(I$4=10,salvage_value_yr10_pct_of_plant_civil_capex/100*$C$15+opt_crusher_salvage_pct/100*opt_crusher_capex,0)</f>
        <v>0</v>
      </c>
      <c r="J31" s="17" t="n">
        <f aca="false">IF(J$4=10,salvage_value_yr10_pct_of_plant_civil_capex/100*$C$15+opt_crusher_salvage_pct/100*opt_crusher_capex,0)</f>
        <v>0</v>
      </c>
      <c r="K31" s="17" t="n">
        <f aca="false">IF(K$4=10,salvage_value_yr10_pct_of_plant_civil_capex/100*$C$15+opt_crusher_salvage_pct/100*opt_crusher_capex,0)</f>
        <v>0</v>
      </c>
      <c r="L31" s="17" t="n">
        <f aca="false">IF(L$4=10,salvage_value_yr10_pct_of_plant_civil_capex/100*$C$15+opt_crusher_salvage_pct/100*opt_crusher_capex,0)</f>
        <v>0</v>
      </c>
      <c r="M31" s="17" t="n">
        <f aca="false">IF(M$4=10,salvage_value_yr10_pct_of_plant_civil_capex/100*$C$15+opt_crusher_salvage_pct/100*opt_crusher_capex,0)</f>
        <v>1250000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3" style="0" width="13"/>
  </cols>
  <sheetData>
    <row r="1" customFormat="false" ht="17.35" hidden="false" customHeight="false" outlineLevel="0" collapsed="false">
      <c r="A1" s="1" t="s">
        <v>571</v>
      </c>
    </row>
    <row r="2" customFormat="false" ht="15" hidden="false" customHeight="false" outlineLevel="0" collapsed="false">
      <c r="A2" s="5" t="s">
        <v>572</v>
      </c>
    </row>
    <row r="3" customFormat="false" ht="15" hidden="false" customHeight="false" outlineLevel="0" collapsed="false">
      <c r="A3" s="14" t="s">
        <v>544</v>
      </c>
      <c r="B3" s="14" t="s">
        <v>36</v>
      </c>
      <c r="C3" s="15" t="n">
        <f aca="false">2026+C4</f>
        <v>2026</v>
      </c>
      <c r="D3" s="15" t="n">
        <f aca="false">2026+D4</f>
        <v>2027</v>
      </c>
      <c r="E3" s="15" t="n">
        <f aca="false">2026+E4</f>
        <v>2028</v>
      </c>
      <c r="F3" s="15" t="n">
        <f aca="false">2026+F4</f>
        <v>2029</v>
      </c>
      <c r="G3" s="15" t="n">
        <f aca="false">2026+G4</f>
        <v>2030</v>
      </c>
      <c r="H3" s="15" t="n">
        <f aca="false">2026+H4</f>
        <v>2031</v>
      </c>
      <c r="I3" s="15" t="n">
        <f aca="false">2026+I4</f>
        <v>2032</v>
      </c>
      <c r="J3" s="15" t="n">
        <f aca="false">2026+J4</f>
        <v>2033</v>
      </c>
      <c r="K3" s="15" t="n">
        <f aca="false">2026+K4</f>
        <v>2034</v>
      </c>
      <c r="L3" s="15" t="n">
        <f aca="false">2026+L4</f>
        <v>2035</v>
      </c>
      <c r="M3" s="15" t="n">
        <f aca="false">2026+M4</f>
        <v>2036</v>
      </c>
    </row>
    <row r="4" customFormat="false" ht="15" hidden="false" customHeight="false" outlineLevel="0" collapsed="false">
      <c r="A4" s="14" t="s">
        <v>545</v>
      </c>
      <c r="B4" s="16"/>
      <c r="C4" s="15" t="n">
        <v>0</v>
      </c>
      <c r="D4" s="15" t="n">
        <v>1</v>
      </c>
      <c r="E4" s="15" t="n">
        <v>2</v>
      </c>
      <c r="F4" s="15" t="n">
        <v>3</v>
      </c>
      <c r="G4" s="15" t="n">
        <v>4</v>
      </c>
      <c r="H4" s="15" t="n">
        <v>5</v>
      </c>
      <c r="I4" s="15" t="n">
        <v>6</v>
      </c>
      <c r="J4" s="15" t="n">
        <v>7</v>
      </c>
      <c r="K4" s="15" t="n">
        <v>8</v>
      </c>
      <c r="L4" s="15" t="n">
        <v>9</v>
      </c>
      <c r="M4" s="15" t="n">
        <v>10</v>
      </c>
    </row>
    <row r="6" customFormat="false" ht="15" hidden="false" customHeight="false" outlineLevel="0" collapsed="false">
      <c r="A6" s="9" t="s">
        <v>573</v>
      </c>
    </row>
    <row r="7" customFormat="false" ht="15" hidden="false" customHeight="false" outlineLevel="0" collapsed="false">
      <c r="A7" s="0" t="s">
        <v>574</v>
      </c>
      <c r="B7" s="0" t="s">
        <v>66</v>
      </c>
      <c r="C7" s="20" t="n">
        <f aca="false">IF(C$4&lt;1+opt_start_delay,0,IF(C$4=1+opt_start_delay,ramp_year1_pct_of_steady/100,IF(C$4=2+opt_start_delay,ramp_year2_pct_of_steady/100,ramp_year3plus_pct_of_steady/100)))</f>
        <v>0</v>
      </c>
      <c r="D7" s="20" t="n">
        <f aca="false">IF(D$4&lt;1+opt_start_delay,0,IF(D$4=1+opt_start_delay,ramp_year1_pct_of_steady/100,IF(D$4=2+opt_start_delay,ramp_year2_pct_of_steady/100,ramp_year3plus_pct_of_steady/100)))</f>
        <v>0.5</v>
      </c>
      <c r="E7" s="20" t="n">
        <f aca="false">IF(E$4&lt;1+opt_start_delay,0,IF(E$4=1+opt_start_delay,ramp_year1_pct_of_steady/100,IF(E$4=2+opt_start_delay,ramp_year2_pct_of_steady/100,ramp_year3plus_pct_of_steady/100)))</f>
        <v>0.79</v>
      </c>
      <c r="F7" s="20" t="n">
        <f aca="false">IF(F$4&lt;1+opt_start_delay,0,IF(F$4=1+opt_start_delay,ramp_year1_pct_of_steady/100,IF(F$4=2+opt_start_delay,ramp_year2_pct_of_steady/100,ramp_year3plus_pct_of_steady/100)))</f>
        <v>1</v>
      </c>
      <c r="G7" s="20" t="n">
        <f aca="false">IF(G$4&lt;1+opt_start_delay,0,IF(G$4=1+opt_start_delay,ramp_year1_pct_of_steady/100,IF(G$4=2+opt_start_delay,ramp_year2_pct_of_steady/100,ramp_year3plus_pct_of_steady/100)))</f>
        <v>1</v>
      </c>
      <c r="H7" s="20" t="n">
        <f aca="false">IF(H$4&lt;1+opt_start_delay,0,IF(H$4=1+opt_start_delay,ramp_year1_pct_of_steady/100,IF(H$4=2+opt_start_delay,ramp_year2_pct_of_steady/100,ramp_year3plus_pct_of_steady/100)))</f>
        <v>1</v>
      </c>
      <c r="I7" s="20" t="n">
        <f aca="false">IF(I$4&lt;1+opt_start_delay,0,IF(I$4=1+opt_start_delay,ramp_year1_pct_of_steady/100,IF(I$4=2+opt_start_delay,ramp_year2_pct_of_steady/100,ramp_year3plus_pct_of_steady/100)))</f>
        <v>1</v>
      </c>
      <c r="J7" s="20" t="n">
        <f aca="false">IF(J$4&lt;1+opt_start_delay,0,IF(J$4=1+opt_start_delay,ramp_year1_pct_of_steady/100,IF(J$4=2+opt_start_delay,ramp_year2_pct_of_steady/100,ramp_year3plus_pct_of_steady/100)))</f>
        <v>1</v>
      </c>
      <c r="K7" s="20" t="n">
        <f aca="false">IF(K$4&lt;1+opt_start_delay,0,IF(K$4=1+opt_start_delay,ramp_year1_pct_of_steady/100,IF(K$4=2+opt_start_delay,ramp_year2_pct_of_steady/100,ramp_year3plus_pct_of_steady/100)))</f>
        <v>1</v>
      </c>
      <c r="L7" s="20" t="n">
        <f aca="false">IF(L$4&lt;1+opt_start_delay,0,IF(L$4=1+opt_start_delay,ramp_year1_pct_of_steady/100,IF(L$4=2+opt_start_delay,ramp_year2_pct_of_steady/100,ramp_year3plus_pct_of_steady/100)))</f>
        <v>1</v>
      </c>
      <c r="M7" s="20" t="n">
        <f aca="false">IF(M$4&lt;1+opt_start_delay,0,IF(M$4=1+opt_start_delay,ramp_year1_pct_of_steady/100,IF(M$4=2+opt_start_delay,ramp_year2_pct_of_steady/100,ramp_year3plus_pct_of_steady/100)))</f>
        <v>1</v>
      </c>
    </row>
    <row r="8" customFormat="false" ht="15" hidden="false" customHeight="false" outlineLevel="0" collapsed="false">
      <c r="A8" s="2" t="s">
        <v>575</v>
      </c>
      <c r="B8" s="8" t="s">
        <v>576</v>
      </c>
      <c r="C8" s="19" t="n">
        <f aca="false">output_steady_state*C7</f>
        <v>0</v>
      </c>
      <c r="D8" s="19" t="n">
        <f aca="false">output_steady_state*D7</f>
        <v>35000</v>
      </c>
      <c r="E8" s="19" t="n">
        <f aca="false">output_steady_state*E7</f>
        <v>55300</v>
      </c>
      <c r="F8" s="19" t="n">
        <f aca="false">output_steady_state*F7</f>
        <v>70000</v>
      </c>
      <c r="G8" s="19" t="n">
        <f aca="false">output_steady_state*G7</f>
        <v>70000</v>
      </c>
      <c r="H8" s="19" t="n">
        <f aca="false">output_steady_state*H7</f>
        <v>70000</v>
      </c>
      <c r="I8" s="19" t="n">
        <f aca="false">output_steady_state*I7</f>
        <v>70000</v>
      </c>
      <c r="J8" s="19" t="n">
        <f aca="false">output_steady_state*J7</f>
        <v>70000</v>
      </c>
      <c r="K8" s="19" t="n">
        <f aca="false">output_steady_state*K7</f>
        <v>70000</v>
      </c>
      <c r="L8" s="19" t="n">
        <f aca="false">output_steady_state*L7</f>
        <v>70000</v>
      </c>
      <c r="M8" s="19" t="n">
        <f aca="false">output_steady_state*M7</f>
        <v>70000</v>
      </c>
    </row>
    <row r="9" customFormat="false" ht="15" hidden="false" customHeight="false" outlineLevel="0" collapsed="false">
      <c r="A9" s="0" t="s">
        <v>577</v>
      </c>
      <c r="B9" s="0" t="s">
        <v>576</v>
      </c>
      <c r="C9" s="17" t="n">
        <f aca="false">C8*circular_share_of_volume/100</f>
        <v>0</v>
      </c>
      <c r="D9" s="17" t="n">
        <f aca="false">D8*circular_share_of_volume/100</f>
        <v>21000</v>
      </c>
      <c r="E9" s="17" t="n">
        <f aca="false">E8*circular_share_of_volume/100</f>
        <v>33180</v>
      </c>
      <c r="F9" s="17" t="n">
        <f aca="false">F8*circular_share_of_volume/100</f>
        <v>42000</v>
      </c>
      <c r="G9" s="17" t="n">
        <f aca="false">G8*circular_share_of_volume/100</f>
        <v>42000</v>
      </c>
      <c r="H9" s="17" t="n">
        <f aca="false">H8*circular_share_of_volume/100</f>
        <v>42000</v>
      </c>
      <c r="I9" s="17" t="n">
        <f aca="false">I8*circular_share_of_volume/100</f>
        <v>42000</v>
      </c>
      <c r="J9" s="17" t="n">
        <f aca="false">J8*circular_share_of_volume/100</f>
        <v>42000</v>
      </c>
      <c r="K9" s="17" t="n">
        <f aca="false">K8*circular_share_of_volume/100</f>
        <v>42000</v>
      </c>
      <c r="L9" s="17" t="n">
        <f aca="false">L8*circular_share_of_volume/100</f>
        <v>42000</v>
      </c>
      <c r="M9" s="17" t="n">
        <f aca="false">M8*circular_share_of_volume/100</f>
        <v>42000</v>
      </c>
    </row>
    <row r="10" customFormat="false" ht="15" hidden="false" customHeight="false" outlineLevel="0" collapsed="false">
      <c r="A10" s="0" t="s">
        <v>578</v>
      </c>
      <c r="B10" s="0" t="s">
        <v>576</v>
      </c>
      <c r="C10" s="17" t="n">
        <f aca="false">C8-C9</f>
        <v>0</v>
      </c>
      <c r="D10" s="17" t="n">
        <f aca="false">D8-D9</f>
        <v>14000</v>
      </c>
      <c r="E10" s="17" t="n">
        <f aca="false">E8-E9</f>
        <v>22120</v>
      </c>
      <c r="F10" s="17" t="n">
        <f aca="false">F8-F9</f>
        <v>28000</v>
      </c>
      <c r="G10" s="17" t="n">
        <f aca="false">G8-G9</f>
        <v>28000</v>
      </c>
      <c r="H10" s="17" t="n">
        <f aca="false">H8-H9</f>
        <v>28000</v>
      </c>
      <c r="I10" s="17" t="n">
        <f aca="false">I8-I9</f>
        <v>28000</v>
      </c>
      <c r="J10" s="17" t="n">
        <f aca="false">J8-J9</f>
        <v>28000</v>
      </c>
      <c r="K10" s="17" t="n">
        <f aca="false">K8-K9</f>
        <v>28000</v>
      </c>
      <c r="L10" s="17" t="n">
        <f aca="false">L8-L9</f>
        <v>28000</v>
      </c>
      <c r="M10" s="17" t="n">
        <f aca="false">M8-M9</f>
        <v>28000</v>
      </c>
    </row>
    <row r="12" customFormat="false" ht="15" hidden="false" customHeight="false" outlineLevel="0" collapsed="false">
      <c r="A12" s="9" t="s">
        <v>579</v>
      </c>
    </row>
    <row r="13" customFormat="false" ht="15" hidden="false" customHeight="false" outlineLevel="0" collapsed="false">
      <c r="A13" s="0" t="s">
        <v>580</v>
      </c>
      <c r="B13" s="0" t="s">
        <v>197</v>
      </c>
      <c r="C13" s="21" t="n">
        <f aca="false">carbon_cost_cem3b_2026</f>
        <v>3.8</v>
      </c>
      <c r="D13" s="21" t="n">
        <f aca="false">carbon_cost_cem3b_2027</f>
        <v>4.3</v>
      </c>
      <c r="E13" s="21" t="n">
        <f aca="false">carbon_cost_cem3b_2028</f>
        <v>5.2</v>
      </c>
      <c r="F13" s="21" t="n">
        <f aca="false">carbon_cost_cem3b_2029</f>
        <v>7.4</v>
      </c>
      <c r="G13" s="21" t="n">
        <f aca="false">carbon_cost_cem3b_2030</f>
        <v>12.1</v>
      </c>
      <c r="H13" s="21" t="n">
        <f aca="false">carbon_cost_cem3b_2031</f>
        <v>14.8</v>
      </c>
      <c r="I13" s="21" t="n">
        <f aca="false">carbon_cost_cem3b_2032</f>
        <v>17.9</v>
      </c>
      <c r="J13" s="21" t="n">
        <f aca="false">carbon_cost_cem3b_2033</f>
        <v>21.5</v>
      </c>
      <c r="K13" s="21" t="n">
        <f aca="false">carbon_cost_cem3b_2034</f>
        <v>25.6</v>
      </c>
      <c r="L13" s="21" t="n">
        <f aca="false">carbon_cost_cem3b_2035</f>
        <v>25.6</v>
      </c>
      <c r="M13" s="21" t="n">
        <f aca="false">carbon_cost_cem3b_2036</f>
        <v>25.6</v>
      </c>
    </row>
    <row r="14" customFormat="false" ht="15" hidden="false" customHeight="false" outlineLevel="0" collapsed="false">
      <c r="A14" s="0" t="s">
        <v>581</v>
      </c>
      <c r="B14" s="0" t="s">
        <v>197</v>
      </c>
      <c r="C14" s="21" t="n">
        <f aca="false">IF(C$3&gt;=2031,cem3b_slag_scarcity_uplift_2031plus/100*price_cem3b_2026_delivered,0)</f>
        <v>0</v>
      </c>
      <c r="D14" s="21" t="n">
        <f aca="false">IF(D$3&gt;=2031,cem3b_slag_scarcity_uplift_2031plus/100*price_cem3b_2026_delivered,0)</f>
        <v>0</v>
      </c>
      <c r="E14" s="21" t="n">
        <f aca="false">IF(E$3&gt;=2031,cem3b_slag_scarcity_uplift_2031plus/100*price_cem3b_2026_delivered,0)</f>
        <v>0</v>
      </c>
      <c r="F14" s="21" t="n">
        <f aca="false">IF(F$3&gt;=2031,cem3b_slag_scarcity_uplift_2031plus/100*price_cem3b_2026_delivered,0)</f>
        <v>0</v>
      </c>
      <c r="G14" s="21" t="n">
        <f aca="false">IF(G$3&gt;=2031,cem3b_slag_scarcity_uplift_2031plus/100*price_cem3b_2026_delivered,0)</f>
        <v>0</v>
      </c>
      <c r="H14" s="21" t="n">
        <f aca="false">IF(H$3&gt;=2031,cem3b_slag_scarcity_uplift_2031plus/100*price_cem3b_2026_delivered,0)</f>
        <v>11</v>
      </c>
      <c r="I14" s="21" t="n">
        <f aca="false">IF(I$3&gt;=2031,cem3b_slag_scarcity_uplift_2031plus/100*price_cem3b_2026_delivered,0)</f>
        <v>11</v>
      </c>
      <c r="J14" s="21" t="n">
        <f aca="false">IF(J$3&gt;=2031,cem3b_slag_scarcity_uplift_2031plus/100*price_cem3b_2026_delivered,0)</f>
        <v>11</v>
      </c>
      <c r="K14" s="21" t="n">
        <f aca="false">IF(K$3&gt;=2031,cem3b_slag_scarcity_uplift_2031plus/100*price_cem3b_2026_delivered,0)</f>
        <v>11</v>
      </c>
      <c r="L14" s="21" t="n">
        <f aca="false">IF(L$3&gt;=2031,cem3b_slag_scarcity_uplift_2031plus/100*price_cem3b_2026_delivered,0)</f>
        <v>11</v>
      </c>
      <c r="M14" s="21" t="n">
        <f aca="false">IF(M$3&gt;=2031,cem3b_slag_scarcity_uplift_2031plus/100*price_cem3b_2026_delivered,0)</f>
        <v>11</v>
      </c>
    </row>
    <row r="15" customFormat="false" ht="15" hidden="false" customHeight="false" outlineLevel="0" collapsed="false">
      <c r="A15" s="2" t="s">
        <v>582</v>
      </c>
      <c r="B15" s="8" t="s">
        <v>197</v>
      </c>
      <c r="C15" s="10" t="n">
        <f aca="false">price_cem3b_2026_delivered+cement_carbon_passthrough/100*(C13-$C$13)+C14</f>
        <v>110</v>
      </c>
      <c r="D15" s="10" t="n">
        <f aca="false">price_cem3b_2026_delivered+cement_carbon_passthrough/100*(D13-$C$13)+D14</f>
        <v>110.425</v>
      </c>
      <c r="E15" s="10" t="n">
        <f aca="false">price_cem3b_2026_delivered+cement_carbon_passthrough/100*(E13-$C$13)+E14</f>
        <v>111.19</v>
      </c>
      <c r="F15" s="10" t="n">
        <f aca="false">price_cem3b_2026_delivered+cement_carbon_passthrough/100*(F13-$C$13)+F14</f>
        <v>113.06</v>
      </c>
      <c r="G15" s="10" t="n">
        <f aca="false">price_cem3b_2026_delivered+cement_carbon_passthrough/100*(G13-$C$13)+G14</f>
        <v>117.055</v>
      </c>
      <c r="H15" s="10" t="n">
        <f aca="false">price_cem3b_2026_delivered+cement_carbon_passthrough/100*(H13-$C$13)+H14</f>
        <v>130.35</v>
      </c>
      <c r="I15" s="10" t="n">
        <f aca="false">price_cem3b_2026_delivered+cement_carbon_passthrough/100*(I13-$C$13)+I14</f>
        <v>132.985</v>
      </c>
      <c r="J15" s="10" t="n">
        <f aca="false">price_cem3b_2026_delivered+cement_carbon_passthrough/100*(J13-$C$13)+J14</f>
        <v>136.045</v>
      </c>
      <c r="K15" s="10" t="n">
        <f aca="false">price_cem3b_2026_delivered+cement_carbon_passthrough/100*(K13-$C$13)+K14</f>
        <v>139.53</v>
      </c>
      <c r="L15" s="10" t="n">
        <f aca="false">price_cem3b_2026_delivered+cement_carbon_passthrough/100*(L13-$C$13)+L14</f>
        <v>139.53</v>
      </c>
      <c r="M15" s="10" t="n">
        <f aca="false">price_cem3b_2026_delivered+cement_carbon_passthrough/100*(M13-$C$13)+M14</f>
        <v>139.53</v>
      </c>
    </row>
    <row r="16" customFormat="false" ht="15" hidden="false" customHeight="false" outlineLevel="0" collapsed="false">
      <c r="A16" s="0" t="s">
        <v>583</v>
      </c>
      <c r="B16" s="0" t="s">
        <v>287</v>
      </c>
      <c r="C16" s="21" t="n">
        <f aca="false">mix_plant_avg_binder_conv/1000*(C15-price_cem3b_2026_delivered)</f>
        <v>0</v>
      </c>
      <c r="D16" s="21" t="n">
        <f aca="false">mix_plant_avg_binder_conv/1000*(D15-price_cem3b_2026_delivered)</f>
        <v>0.131749999999999</v>
      </c>
      <c r="E16" s="21" t="n">
        <f aca="false">mix_plant_avg_binder_conv/1000*(E15-price_cem3b_2026_delivered)</f>
        <v>0.368899999999999</v>
      </c>
      <c r="F16" s="21" t="n">
        <f aca="false">mix_plant_avg_binder_conv/1000*(F15-price_cem3b_2026_delivered)</f>
        <v>0.948600000000001</v>
      </c>
      <c r="G16" s="21" t="n">
        <f aca="false">mix_plant_avg_binder_conv/1000*(G15-price_cem3b_2026_delivered)</f>
        <v>2.18705</v>
      </c>
      <c r="H16" s="21" t="n">
        <f aca="false">mix_plant_avg_binder_conv/1000*(H15-price_cem3b_2026_delivered)</f>
        <v>6.3085</v>
      </c>
      <c r="I16" s="21" t="n">
        <f aca="false">mix_plant_avg_binder_conv/1000*(I15-price_cem3b_2026_delivered)</f>
        <v>7.12535</v>
      </c>
      <c r="J16" s="21" t="n">
        <f aca="false">mix_plant_avg_binder_conv/1000*(J15-price_cem3b_2026_delivered)</f>
        <v>8.07395000000001</v>
      </c>
      <c r="K16" s="21" t="n">
        <f aca="false">mix_plant_avg_binder_conv/1000*(K15-price_cem3b_2026_delivered)</f>
        <v>9.1543</v>
      </c>
      <c r="L16" s="21" t="n">
        <f aca="false">mix_plant_avg_binder_conv/1000*(L15-price_cem3b_2026_delivered)</f>
        <v>9.1543</v>
      </c>
      <c r="M16" s="21" t="n">
        <f aca="false">mix_plant_avg_binder_conv/1000*(M15-price_cem3b_2026_delivered)</f>
        <v>9.1543</v>
      </c>
    </row>
    <row r="18" customFormat="false" ht="15" hidden="false" customHeight="false" outlineLevel="0" collapsed="false">
      <c r="A18" s="9" t="s">
        <v>584</v>
      </c>
    </row>
    <row r="19" customFormat="false" ht="15" hidden="false" customHeight="false" outlineLevel="0" collapsed="false">
      <c r="A19" s="0" t="s">
        <v>585</v>
      </c>
      <c r="B19" s="0" t="s">
        <v>287</v>
      </c>
      <c r="C19" s="21" t="n">
        <f aca="false">price_plant_avg_all_classes*(1+price_real_escalation/100)^C$4+concrete_price_passthrough_of_market_binder_cost/100*C16+opt_price_delta_per_m3</f>
        <v>135</v>
      </c>
      <c r="D19" s="21" t="n">
        <f aca="false">price_plant_avg_all_classes*(1+price_real_escalation/100)^D$4+concrete_price_passthrough_of_market_binder_cost/100*D16+opt_price_delta_per_m3</f>
        <v>135.1054</v>
      </c>
      <c r="E19" s="21" t="n">
        <f aca="false">price_plant_avg_all_classes*(1+price_real_escalation/100)^E$4+concrete_price_passthrough_of_market_binder_cost/100*E16+opt_price_delta_per_m3</f>
        <v>135.29512</v>
      </c>
      <c r="F19" s="21" t="n">
        <f aca="false">price_plant_avg_all_classes*(1+price_real_escalation/100)^F$4+concrete_price_passthrough_of_market_binder_cost/100*F16+opt_price_delta_per_m3</f>
        <v>135.75888</v>
      </c>
      <c r="G19" s="21" t="n">
        <f aca="false">price_plant_avg_all_classes*(1+price_real_escalation/100)^G$4+concrete_price_passthrough_of_market_binder_cost/100*G16+opt_price_delta_per_m3</f>
        <v>136.74964</v>
      </c>
      <c r="H19" s="21" t="n">
        <f aca="false">price_plant_avg_all_classes*(1+price_real_escalation/100)^H$4+concrete_price_passthrough_of_market_binder_cost/100*H16+opt_price_delta_per_m3</f>
        <v>140.0468</v>
      </c>
      <c r="I19" s="21" t="n">
        <f aca="false">price_plant_avg_all_classes*(1+price_real_escalation/100)^I$4+concrete_price_passthrough_of_market_binder_cost/100*I16+opt_price_delta_per_m3</f>
        <v>140.70028</v>
      </c>
      <c r="J19" s="21" t="n">
        <f aca="false">price_plant_avg_all_classes*(1+price_real_escalation/100)^J$4+concrete_price_passthrough_of_market_binder_cost/100*J16+opt_price_delta_per_m3</f>
        <v>141.45916</v>
      </c>
      <c r="K19" s="21" t="n">
        <f aca="false">price_plant_avg_all_classes*(1+price_real_escalation/100)^K$4+concrete_price_passthrough_of_market_binder_cost/100*K16+opt_price_delta_per_m3</f>
        <v>142.32344</v>
      </c>
      <c r="L19" s="21" t="n">
        <f aca="false">price_plant_avg_all_classes*(1+price_real_escalation/100)^L$4+concrete_price_passthrough_of_market_binder_cost/100*L16+opt_price_delta_per_m3</f>
        <v>142.32344</v>
      </c>
      <c r="M19" s="21" t="n">
        <f aca="false">price_plant_avg_all_classes*(1+price_real_escalation/100)^M$4+concrete_price_passthrough_of_market_binder_cost/100*M16+opt_price_delta_per_m3</f>
        <v>142.32344</v>
      </c>
    </row>
    <row r="20" customFormat="false" ht="15" hidden="false" customHeight="false" outlineLevel="0" collapsed="false">
      <c r="A20" s="0" t="s">
        <v>586</v>
      </c>
      <c r="B20" s="0" t="s">
        <v>66</v>
      </c>
      <c r="C20" s="22" t="n">
        <f aca="false">public_share_of_sales/100*green_premium_public/100+(1-public_share_of_sales/100)*green_premium_private/100</f>
        <v>0.012</v>
      </c>
    </row>
    <row r="21" customFormat="false" ht="15" hidden="false" customHeight="false" outlineLevel="0" collapsed="false">
      <c r="A21" s="0" t="s">
        <v>587</v>
      </c>
      <c r="B21" s="0" t="s">
        <v>287</v>
      </c>
      <c r="C21" s="21" t="n">
        <f aca="false">C19*(1+$C$20)+IF(C$3&gt;=opt_circ_delta_start_year,opt_circ_price_delta_per_m3,0)</f>
        <v>136.62</v>
      </c>
      <c r="D21" s="21" t="n">
        <f aca="false">D19*(1+$C$20)+IF(D$3&gt;=opt_circ_delta_start_year,opt_circ_price_delta_per_m3,0)</f>
        <v>136.7266648</v>
      </c>
      <c r="E21" s="21" t="n">
        <f aca="false">E19*(1+$C$20)+IF(E$3&gt;=opt_circ_delta_start_year,opt_circ_price_delta_per_m3,0)</f>
        <v>136.91866144</v>
      </c>
      <c r="F21" s="21" t="n">
        <f aca="false">F19*(1+$C$20)+IF(F$3&gt;=opt_circ_delta_start_year,opt_circ_price_delta_per_m3,0)</f>
        <v>137.38798656</v>
      </c>
      <c r="G21" s="21" t="n">
        <f aca="false">G19*(1+$C$20)+IF(G$3&gt;=opt_circ_delta_start_year,opt_circ_price_delta_per_m3,0)</f>
        <v>138.39063568</v>
      </c>
      <c r="H21" s="21" t="n">
        <f aca="false">H19*(1+$C$20)+IF(H$3&gt;=opt_circ_delta_start_year,opt_circ_price_delta_per_m3,0)</f>
        <v>141.7273616</v>
      </c>
      <c r="I21" s="21" t="n">
        <f aca="false">I19*(1+$C$20)+IF(I$3&gt;=opt_circ_delta_start_year,opt_circ_price_delta_per_m3,0)</f>
        <v>142.38868336</v>
      </c>
      <c r="J21" s="21" t="n">
        <f aca="false">J19*(1+$C$20)+IF(J$3&gt;=opt_circ_delta_start_year,opt_circ_price_delta_per_m3,0)</f>
        <v>143.15666992</v>
      </c>
      <c r="K21" s="21" t="n">
        <f aca="false">K19*(1+$C$20)+IF(K$3&gt;=opt_circ_delta_start_year,opt_circ_price_delta_per_m3,0)</f>
        <v>144.03132128</v>
      </c>
      <c r="L21" s="21" t="n">
        <f aca="false">L19*(1+$C$20)+IF(L$3&gt;=opt_circ_delta_start_year,opt_circ_price_delta_per_m3,0)</f>
        <v>144.03132128</v>
      </c>
      <c r="M21" s="21" t="n">
        <f aca="false">M19*(1+$C$20)+IF(M$3&gt;=opt_circ_delta_start_year,opt_circ_price_delta_per_m3,0)</f>
        <v>144.03132128</v>
      </c>
    </row>
    <row r="22" customFormat="false" ht="15" hidden="false" customHeight="false" outlineLevel="0" collapsed="false">
      <c r="A22" s="0" t="s">
        <v>588</v>
      </c>
      <c r="B22" s="0" t="s">
        <v>287</v>
      </c>
      <c r="C22" s="21" t="n">
        <f aca="false">C19</f>
        <v>135</v>
      </c>
      <c r="D22" s="21" t="n">
        <f aca="false">D19</f>
        <v>135.1054</v>
      </c>
      <c r="E22" s="21" t="n">
        <f aca="false">E19</f>
        <v>135.29512</v>
      </c>
      <c r="F22" s="21" t="n">
        <f aca="false">F19</f>
        <v>135.75888</v>
      </c>
      <c r="G22" s="21" t="n">
        <f aca="false">G19</f>
        <v>136.74964</v>
      </c>
      <c r="H22" s="21" t="n">
        <f aca="false">H19</f>
        <v>140.0468</v>
      </c>
      <c r="I22" s="21" t="n">
        <f aca="false">I19</f>
        <v>140.70028</v>
      </c>
      <c r="J22" s="21" t="n">
        <f aca="false">J19</f>
        <v>141.45916</v>
      </c>
      <c r="K22" s="21" t="n">
        <f aca="false">K19</f>
        <v>142.32344</v>
      </c>
      <c r="L22" s="21" t="n">
        <f aca="false">L19</f>
        <v>142.32344</v>
      </c>
      <c r="M22" s="21" t="n">
        <f aca="false">M19</f>
        <v>142.32344</v>
      </c>
    </row>
    <row r="24" customFormat="false" ht="15" hidden="false" customHeight="false" outlineLevel="0" collapsed="false">
      <c r="A24" s="9" t="s">
        <v>589</v>
      </c>
    </row>
    <row r="25" customFormat="false" ht="15" hidden="false" customHeight="false" outlineLevel="0" collapsed="false">
      <c r="A25" s="0" t="s">
        <v>590</v>
      </c>
      <c r="B25" s="0" t="s">
        <v>72</v>
      </c>
      <c r="C25" s="17" t="n">
        <f aca="false">C9*C21</f>
        <v>0</v>
      </c>
      <c r="D25" s="17" t="n">
        <f aca="false">D9*D21</f>
        <v>2871259.9608</v>
      </c>
      <c r="E25" s="17" t="n">
        <f aca="false">E9*E21</f>
        <v>4542961.1865792</v>
      </c>
      <c r="F25" s="17" t="n">
        <f aca="false">F9*F21</f>
        <v>5770295.43552</v>
      </c>
      <c r="G25" s="17" t="n">
        <f aca="false">G9*G21</f>
        <v>5812406.69856</v>
      </c>
      <c r="H25" s="17" t="n">
        <f aca="false">H9*H21</f>
        <v>5952549.1872</v>
      </c>
      <c r="I25" s="17" t="n">
        <f aca="false">I9*I21</f>
        <v>5980324.70112</v>
      </c>
      <c r="J25" s="17" t="n">
        <f aca="false">J9*J21</f>
        <v>6012580.13664</v>
      </c>
      <c r="K25" s="17" t="n">
        <f aca="false">K9*K21</f>
        <v>6049315.49376</v>
      </c>
      <c r="L25" s="17" t="n">
        <f aca="false">L9*L21</f>
        <v>6049315.49376</v>
      </c>
      <c r="M25" s="17" t="n">
        <f aca="false">M9*M21</f>
        <v>6049315.49376</v>
      </c>
    </row>
    <row r="26" customFormat="false" ht="15" hidden="false" customHeight="false" outlineLevel="0" collapsed="false">
      <c r="A26" s="0" t="s">
        <v>591</v>
      </c>
      <c r="B26" s="0" t="s">
        <v>72</v>
      </c>
      <c r="C26" s="17" t="n">
        <f aca="false">C10*C22</f>
        <v>0</v>
      </c>
      <c r="D26" s="17" t="n">
        <f aca="false">D10*D22</f>
        <v>1891475.6</v>
      </c>
      <c r="E26" s="17" t="n">
        <f aca="false">E10*E22</f>
        <v>2992728.0544</v>
      </c>
      <c r="F26" s="17" t="n">
        <f aca="false">F10*F22</f>
        <v>3801248.64</v>
      </c>
      <c r="G26" s="17" t="n">
        <f aca="false">G10*G22</f>
        <v>3828989.92</v>
      </c>
      <c r="H26" s="17" t="n">
        <f aca="false">H10*H22</f>
        <v>3921310.4</v>
      </c>
      <c r="I26" s="17" t="n">
        <f aca="false">I10*I22</f>
        <v>3939607.84</v>
      </c>
      <c r="J26" s="17" t="n">
        <f aca="false">J10*J22</f>
        <v>3960856.48</v>
      </c>
      <c r="K26" s="17" t="n">
        <f aca="false">K10*K22</f>
        <v>3985056.32</v>
      </c>
      <c r="L26" s="17" t="n">
        <f aca="false">L10*L22</f>
        <v>3985056.32</v>
      </c>
      <c r="M26" s="17" t="n">
        <f aca="false">M10*M22</f>
        <v>3985056.32</v>
      </c>
    </row>
    <row r="27" customFormat="false" ht="15" hidden="false" customHeight="false" outlineLevel="0" collapsed="false">
      <c r="A27" s="0" t="s">
        <v>592</v>
      </c>
      <c r="B27" s="0" t="s">
        <v>72</v>
      </c>
      <c r="C27" s="17" t="n">
        <f aca="false">IF(C$4&gt;=1+opt_start_delay,opt_extra_revenue_per_yr,0)</f>
        <v>0</v>
      </c>
      <c r="D27" s="17" t="n">
        <f aca="false">IF(D$4&gt;=1+opt_start_delay,opt_extra_revenue_per_yr,0)</f>
        <v>0</v>
      </c>
      <c r="E27" s="17" t="n">
        <f aca="false">IF(E$4&gt;=1+opt_start_delay,opt_extra_revenue_per_yr,0)</f>
        <v>0</v>
      </c>
      <c r="F27" s="17" t="n">
        <f aca="false">IF(F$4&gt;=1+opt_start_delay,opt_extra_revenue_per_yr,0)</f>
        <v>0</v>
      </c>
      <c r="G27" s="17" t="n">
        <f aca="false">IF(G$4&gt;=1+opt_start_delay,opt_extra_revenue_per_yr,0)</f>
        <v>0</v>
      </c>
      <c r="H27" s="17" t="n">
        <f aca="false">IF(H$4&gt;=1+opt_start_delay,opt_extra_revenue_per_yr,0)</f>
        <v>0</v>
      </c>
      <c r="I27" s="17" t="n">
        <f aca="false">IF(I$4&gt;=1+opt_start_delay,opt_extra_revenue_per_yr,0)</f>
        <v>0</v>
      </c>
      <c r="J27" s="17" t="n">
        <f aca="false">IF(J$4&gt;=1+opt_start_delay,opt_extra_revenue_per_yr,0)</f>
        <v>0</v>
      </c>
      <c r="K27" s="17" t="n">
        <f aca="false">IF(K$4&gt;=1+opt_start_delay,opt_extra_revenue_per_yr,0)</f>
        <v>0</v>
      </c>
      <c r="L27" s="17" t="n">
        <f aca="false">IF(L$4&gt;=1+opt_start_delay,opt_extra_revenue_per_yr,0)</f>
        <v>0</v>
      </c>
      <c r="M27" s="17" t="n">
        <f aca="false">IF(M$4&gt;=1+opt_start_delay,opt_extra_revenue_per_yr,0)</f>
        <v>0</v>
      </c>
    </row>
    <row r="29" customFormat="false" ht="15" hidden="false" customHeight="false" outlineLevel="0" collapsed="false">
      <c r="A29" s="9" t="s">
        <v>593</v>
      </c>
    </row>
    <row r="30" customFormat="false" ht="15" hidden="false" customHeight="false" outlineLevel="0" collapsed="false">
      <c r="A30" s="0" t="s">
        <v>594</v>
      </c>
      <c r="B30" s="0" t="s">
        <v>51</v>
      </c>
      <c r="C30" s="18" t="n">
        <f aca="false">opt_crusher_on*IF(C$4&gt;=1+opt_start_delay,1,0)*IF(C$3&gt;=opt_crusher_start_year,1,0)</f>
        <v>0</v>
      </c>
      <c r="D30" s="18" t="n">
        <f aca="false">opt_crusher_on*IF(D$4&gt;=1+opt_start_delay,1,0)*IF(D$3&gt;=opt_crusher_start_year,1,0)</f>
        <v>0</v>
      </c>
      <c r="E30" s="18" t="n">
        <f aca="false">opt_crusher_on*IF(E$4&gt;=1+opt_start_delay,1,0)*IF(E$3&gt;=opt_crusher_start_year,1,0)</f>
        <v>0</v>
      </c>
      <c r="F30" s="18" t="n">
        <f aca="false">opt_crusher_on*IF(F$4&gt;=1+opt_start_delay,1,0)*IF(F$3&gt;=opt_crusher_start_year,1,0)</f>
        <v>0</v>
      </c>
      <c r="G30" s="18" t="n">
        <f aca="false">opt_crusher_on*IF(G$4&gt;=1+opt_start_delay,1,0)*IF(G$3&gt;=opt_crusher_start_year,1,0)</f>
        <v>0</v>
      </c>
      <c r="H30" s="18" t="n">
        <f aca="false">opt_crusher_on*IF(H$4&gt;=1+opt_start_delay,1,0)*IF(H$3&gt;=opt_crusher_start_year,1,0)</f>
        <v>0</v>
      </c>
      <c r="I30" s="18" t="n">
        <f aca="false">opt_crusher_on*IF(I$4&gt;=1+opt_start_delay,1,0)*IF(I$3&gt;=opt_crusher_start_year,1,0)</f>
        <v>0</v>
      </c>
      <c r="J30" s="18" t="n">
        <f aca="false">opt_crusher_on*IF(J$4&gt;=1+opt_start_delay,1,0)*IF(J$3&gt;=opt_crusher_start_year,1,0)</f>
        <v>0</v>
      </c>
      <c r="K30" s="18" t="n">
        <f aca="false">opt_crusher_on*IF(K$4&gt;=1+opt_start_delay,1,0)*IF(K$3&gt;=opt_crusher_start_year,1,0)</f>
        <v>0</v>
      </c>
      <c r="L30" s="18" t="n">
        <f aca="false">opt_crusher_on*IF(L$4&gt;=1+opt_start_delay,1,0)*IF(L$3&gt;=opt_crusher_start_year,1,0)</f>
        <v>0</v>
      </c>
      <c r="M30" s="18" t="n">
        <f aca="false">opt_crusher_on*IF(M$4&gt;=1+opt_start_delay,1,0)*IF(M$3&gt;=opt_crusher_start_year,1,0)</f>
        <v>0</v>
      </c>
    </row>
    <row r="31" customFormat="false" ht="15" hidden="false" customHeight="false" outlineLevel="0" collapsed="false">
      <c r="A31" s="0" t="s">
        <v>595</v>
      </c>
      <c r="B31" s="0" t="s">
        <v>553</v>
      </c>
      <c r="C31" s="17" t="n">
        <f aca="false">opt_rubble_intake_tpy*C7*C30</f>
        <v>0</v>
      </c>
      <c r="D31" s="17" t="n">
        <f aca="false">opt_rubble_intake_tpy*D7*D30</f>
        <v>0</v>
      </c>
      <c r="E31" s="17" t="n">
        <f aca="false">opt_rubble_intake_tpy*E7*E30</f>
        <v>0</v>
      </c>
      <c r="F31" s="17" t="n">
        <f aca="false">opt_rubble_intake_tpy*F7*F30</f>
        <v>0</v>
      </c>
      <c r="G31" s="17" t="n">
        <f aca="false">opt_rubble_intake_tpy*G7*G30</f>
        <v>0</v>
      </c>
      <c r="H31" s="17" t="n">
        <f aca="false">opt_rubble_intake_tpy*H7*H30</f>
        <v>0</v>
      </c>
      <c r="I31" s="17" t="n">
        <f aca="false">opt_rubble_intake_tpy*I7*I30</f>
        <v>0</v>
      </c>
      <c r="J31" s="17" t="n">
        <f aca="false">opt_rubble_intake_tpy*J7*J30</f>
        <v>0</v>
      </c>
      <c r="K31" s="17" t="n">
        <f aca="false">opt_rubble_intake_tpy*K7*K30</f>
        <v>0</v>
      </c>
      <c r="L31" s="17" t="n">
        <f aca="false">opt_rubble_intake_tpy*L7*L30</f>
        <v>0</v>
      </c>
      <c r="M31" s="17" t="n">
        <f aca="false">opt_rubble_intake_tpy*M7*M30</f>
        <v>0</v>
      </c>
    </row>
    <row r="32" customFormat="false" ht="15" hidden="false" customHeight="false" outlineLevel="0" collapsed="false">
      <c r="A32" s="0" t="s">
        <v>596</v>
      </c>
      <c r="B32" s="0" t="s">
        <v>553</v>
      </c>
      <c r="C32" s="17" t="n">
        <f aca="false">C31*hybrid_yield_coarse/100</f>
        <v>0</v>
      </c>
      <c r="D32" s="17" t="n">
        <f aca="false">D31*hybrid_yield_coarse/100</f>
        <v>0</v>
      </c>
      <c r="E32" s="17" t="n">
        <f aca="false">E31*hybrid_yield_coarse/100</f>
        <v>0</v>
      </c>
      <c r="F32" s="17" t="n">
        <f aca="false">F31*hybrid_yield_coarse/100</f>
        <v>0</v>
      </c>
      <c r="G32" s="17" t="n">
        <f aca="false">G31*hybrid_yield_coarse/100</f>
        <v>0</v>
      </c>
      <c r="H32" s="17" t="n">
        <f aca="false">H31*hybrid_yield_coarse/100</f>
        <v>0</v>
      </c>
      <c r="I32" s="17" t="n">
        <f aca="false">I31*hybrid_yield_coarse/100</f>
        <v>0</v>
      </c>
      <c r="J32" s="17" t="n">
        <f aca="false">J31*hybrid_yield_coarse/100</f>
        <v>0</v>
      </c>
      <c r="K32" s="17" t="n">
        <f aca="false">K31*hybrid_yield_coarse/100</f>
        <v>0</v>
      </c>
      <c r="L32" s="17" t="n">
        <f aca="false">L31*hybrid_yield_coarse/100</f>
        <v>0</v>
      </c>
      <c r="M32" s="17" t="n">
        <f aca="false">M31*hybrid_yield_coarse/100</f>
        <v>0</v>
      </c>
    </row>
    <row r="33" customFormat="false" ht="15" hidden="false" customHeight="false" outlineLevel="0" collapsed="false">
      <c r="A33" s="0" t="s">
        <v>597</v>
      </c>
      <c r="B33" s="0" t="s">
        <v>553</v>
      </c>
      <c r="C33" s="17" t="n">
        <f aca="false">C9*mix_circ_rca_coarse/1000+C10*mix_conv_cem3b_rca_coarse/1000</f>
        <v>0</v>
      </c>
      <c r="D33" s="17" t="n">
        <f aca="false">D9*mix_circ_rca_coarse/1000+D10*mix_conv_cem3b_rca_coarse/1000</f>
        <v>11760</v>
      </c>
      <c r="E33" s="17" t="n">
        <f aca="false">E9*mix_circ_rca_coarse/1000+E10*mix_conv_cem3b_rca_coarse/1000</f>
        <v>18580.8</v>
      </c>
      <c r="F33" s="17" t="n">
        <f aca="false">F9*mix_circ_rca_coarse/1000+F10*mix_conv_cem3b_rca_coarse/1000</f>
        <v>23520</v>
      </c>
      <c r="G33" s="17" t="n">
        <f aca="false">G9*mix_circ_rca_coarse/1000+G10*mix_conv_cem3b_rca_coarse/1000</f>
        <v>23520</v>
      </c>
      <c r="H33" s="17" t="n">
        <f aca="false">H9*mix_circ_rca_coarse/1000+H10*mix_conv_cem3b_rca_coarse/1000</f>
        <v>23520</v>
      </c>
      <c r="I33" s="17" t="n">
        <f aca="false">I9*mix_circ_rca_coarse/1000+I10*mix_conv_cem3b_rca_coarse/1000</f>
        <v>23520</v>
      </c>
      <c r="J33" s="17" t="n">
        <f aca="false">J9*mix_circ_rca_coarse/1000+J10*mix_conv_cem3b_rca_coarse/1000</f>
        <v>23520</v>
      </c>
      <c r="K33" s="17" t="n">
        <f aca="false">K9*mix_circ_rca_coarse/1000+K10*mix_conv_cem3b_rca_coarse/1000</f>
        <v>23520</v>
      </c>
      <c r="L33" s="17" t="n">
        <f aca="false">L9*mix_circ_rca_coarse/1000+L10*mix_conv_cem3b_rca_coarse/1000</f>
        <v>23520</v>
      </c>
      <c r="M33" s="17" t="n">
        <f aca="false">M9*mix_circ_rca_coarse/1000+M10*mix_conv_cem3b_rca_coarse/1000</f>
        <v>23520</v>
      </c>
    </row>
    <row r="34" customFormat="false" ht="15" hidden="false" customHeight="false" outlineLevel="0" collapsed="false">
      <c r="A34" s="0" t="s">
        <v>598</v>
      </c>
      <c r="B34" s="0" t="s">
        <v>553</v>
      </c>
      <c r="C34" s="17" t="n">
        <f aca="false">MIN(C32,C33)</f>
        <v>0</v>
      </c>
      <c r="D34" s="17" t="n">
        <f aca="false">MIN(D32,D33)</f>
        <v>0</v>
      </c>
      <c r="E34" s="17" t="n">
        <f aca="false">MIN(E32,E33)</f>
        <v>0</v>
      </c>
      <c r="F34" s="17" t="n">
        <f aca="false">MIN(F32,F33)</f>
        <v>0</v>
      </c>
      <c r="G34" s="17" t="n">
        <f aca="false">MIN(G32,G33)</f>
        <v>0</v>
      </c>
      <c r="H34" s="17" t="n">
        <f aca="false">MIN(H32,H33)</f>
        <v>0</v>
      </c>
      <c r="I34" s="17" t="n">
        <f aca="false">MIN(I32,I33)</f>
        <v>0</v>
      </c>
      <c r="J34" s="17" t="n">
        <f aca="false">MIN(J32,J33)</f>
        <v>0</v>
      </c>
      <c r="K34" s="17" t="n">
        <f aca="false">MIN(K32,K33)</f>
        <v>0</v>
      </c>
      <c r="L34" s="17" t="n">
        <f aca="false">MIN(L32,L33)</f>
        <v>0</v>
      </c>
      <c r="M34" s="17" t="n">
        <f aca="false">MIN(M32,M33)</f>
        <v>0</v>
      </c>
    </row>
    <row r="35" customFormat="false" ht="15" hidden="false" customHeight="false" outlineLevel="0" collapsed="false">
      <c r="A35" s="0" t="s">
        <v>599</v>
      </c>
      <c r="B35" s="0" t="s">
        <v>553</v>
      </c>
      <c r="C35" s="17" t="n">
        <f aca="false">C32-C34</f>
        <v>0</v>
      </c>
      <c r="D35" s="17" t="n">
        <f aca="false">D32-D34</f>
        <v>0</v>
      </c>
      <c r="E35" s="17" t="n">
        <f aca="false">E32-E34</f>
        <v>0</v>
      </c>
      <c r="F35" s="17" t="n">
        <f aca="false">F32-F34</f>
        <v>0</v>
      </c>
      <c r="G35" s="17" t="n">
        <f aca="false">G32-G34</f>
        <v>0</v>
      </c>
      <c r="H35" s="17" t="n">
        <f aca="false">H32-H34</f>
        <v>0</v>
      </c>
      <c r="I35" s="17" t="n">
        <f aca="false">I32-I34</f>
        <v>0</v>
      </c>
      <c r="J35" s="17" t="n">
        <f aca="false">J32-J34</f>
        <v>0</v>
      </c>
      <c r="K35" s="17" t="n">
        <f aca="false">K32-K34</f>
        <v>0</v>
      </c>
      <c r="L35" s="17" t="n">
        <f aca="false">L32-L34</f>
        <v>0</v>
      </c>
      <c r="M35" s="17" t="n">
        <f aca="false">M32-M34</f>
        <v>0</v>
      </c>
    </row>
    <row r="36" customFormat="false" ht="15" hidden="false" customHeight="false" outlineLevel="0" collapsed="false">
      <c r="A36" s="0" t="s">
        <v>600</v>
      </c>
      <c r="B36" s="0" t="s">
        <v>72</v>
      </c>
      <c r="C36" s="17" t="n">
        <f aca="false">C31*hybrid_gate_fee_received</f>
        <v>0</v>
      </c>
      <c r="D36" s="17" t="n">
        <f aca="false">D31*hybrid_gate_fee_received</f>
        <v>0</v>
      </c>
      <c r="E36" s="17" t="n">
        <f aca="false">E31*hybrid_gate_fee_received</f>
        <v>0</v>
      </c>
      <c r="F36" s="17" t="n">
        <f aca="false">F31*hybrid_gate_fee_received</f>
        <v>0</v>
      </c>
      <c r="G36" s="17" t="n">
        <f aca="false">G31*hybrid_gate_fee_received</f>
        <v>0</v>
      </c>
      <c r="H36" s="17" t="n">
        <f aca="false">H31*hybrid_gate_fee_received</f>
        <v>0</v>
      </c>
      <c r="I36" s="17" t="n">
        <f aca="false">I31*hybrid_gate_fee_received</f>
        <v>0</v>
      </c>
      <c r="J36" s="17" t="n">
        <f aca="false">J31*hybrid_gate_fee_received</f>
        <v>0</v>
      </c>
      <c r="K36" s="17" t="n">
        <f aca="false">K31*hybrid_gate_fee_received</f>
        <v>0</v>
      </c>
      <c r="L36" s="17" t="n">
        <f aca="false">L31*hybrid_gate_fee_received</f>
        <v>0</v>
      </c>
      <c r="M36" s="17" t="n">
        <f aca="false">M31*hybrid_gate_fee_received</f>
        <v>0</v>
      </c>
    </row>
    <row r="37" customFormat="false" ht="15" hidden="false" customHeight="false" outlineLevel="0" collapsed="false">
      <c r="A37" s="0" t="s">
        <v>601</v>
      </c>
      <c r="B37" s="0" t="s">
        <v>72</v>
      </c>
      <c r="C37" s="17" t="n">
        <f aca="false">C31*hybrid_yield_sand_0_4/100*hybrid_price_crusher_sand</f>
        <v>0</v>
      </c>
      <c r="D37" s="17" t="n">
        <f aca="false">D31*hybrid_yield_sand_0_4/100*hybrid_price_crusher_sand</f>
        <v>0</v>
      </c>
      <c r="E37" s="17" t="n">
        <f aca="false">E31*hybrid_yield_sand_0_4/100*hybrid_price_crusher_sand</f>
        <v>0</v>
      </c>
      <c r="F37" s="17" t="n">
        <f aca="false">F31*hybrid_yield_sand_0_4/100*hybrid_price_crusher_sand</f>
        <v>0</v>
      </c>
      <c r="G37" s="17" t="n">
        <f aca="false">G31*hybrid_yield_sand_0_4/100*hybrid_price_crusher_sand</f>
        <v>0</v>
      </c>
      <c r="H37" s="17" t="n">
        <f aca="false">H31*hybrid_yield_sand_0_4/100*hybrid_price_crusher_sand</f>
        <v>0</v>
      </c>
      <c r="I37" s="17" t="n">
        <f aca="false">I31*hybrid_yield_sand_0_4/100*hybrid_price_crusher_sand</f>
        <v>0</v>
      </c>
      <c r="J37" s="17" t="n">
        <f aca="false">J31*hybrid_yield_sand_0_4/100*hybrid_price_crusher_sand</f>
        <v>0</v>
      </c>
      <c r="K37" s="17" t="n">
        <f aca="false">K31*hybrid_yield_sand_0_4/100*hybrid_price_crusher_sand</f>
        <v>0</v>
      </c>
      <c r="L37" s="17" t="n">
        <f aca="false">L31*hybrid_yield_sand_0_4/100*hybrid_price_crusher_sand</f>
        <v>0</v>
      </c>
      <c r="M37" s="17" t="n">
        <f aca="false">M31*hybrid_yield_sand_0_4/100*hybrid_price_crusher_sand</f>
        <v>0</v>
      </c>
    </row>
    <row r="38" customFormat="false" ht="15" hidden="false" customHeight="false" outlineLevel="0" collapsed="false">
      <c r="A38" s="0" t="s">
        <v>602</v>
      </c>
      <c r="B38" s="0" t="s">
        <v>72</v>
      </c>
      <c r="C38" s="17" t="n">
        <f aca="false">C31*hybrid_yield_steel/100*hybrid_price_steel_scrap</f>
        <v>0</v>
      </c>
      <c r="D38" s="17" t="n">
        <f aca="false">D31*hybrid_yield_steel/100*hybrid_price_steel_scrap</f>
        <v>0</v>
      </c>
      <c r="E38" s="17" t="n">
        <f aca="false">E31*hybrid_yield_steel/100*hybrid_price_steel_scrap</f>
        <v>0</v>
      </c>
      <c r="F38" s="17" t="n">
        <f aca="false">F31*hybrid_yield_steel/100*hybrid_price_steel_scrap</f>
        <v>0</v>
      </c>
      <c r="G38" s="17" t="n">
        <f aca="false">G31*hybrid_yield_steel/100*hybrid_price_steel_scrap</f>
        <v>0</v>
      </c>
      <c r="H38" s="17" t="n">
        <f aca="false">H31*hybrid_yield_steel/100*hybrid_price_steel_scrap</f>
        <v>0</v>
      </c>
      <c r="I38" s="17" t="n">
        <f aca="false">I31*hybrid_yield_steel/100*hybrid_price_steel_scrap</f>
        <v>0</v>
      </c>
      <c r="J38" s="17" t="n">
        <f aca="false">J31*hybrid_yield_steel/100*hybrid_price_steel_scrap</f>
        <v>0</v>
      </c>
      <c r="K38" s="17" t="n">
        <f aca="false">K31*hybrid_yield_steel/100*hybrid_price_steel_scrap</f>
        <v>0</v>
      </c>
      <c r="L38" s="17" t="n">
        <f aca="false">L31*hybrid_yield_steel/100*hybrid_price_steel_scrap</f>
        <v>0</v>
      </c>
      <c r="M38" s="17" t="n">
        <f aca="false">M31*hybrid_yield_steel/100*hybrid_price_steel_scrap</f>
        <v>0</v>
      </c>
    </row>
    <row r="39" customFormat="false" ht="15" hidden="false" customHeight="false" outlineLevel="0" collapsed="false">
      <c r="A39" s="0" t="s">
        <v>603</v>
      </c>
      <c r="B39" s="0" t="s">
        <v>72</v>
      </c>
      <c r="C39" s="17" t="n">
        <f aca="false">C35*price_rca_coarse_exworks</f>
        <v>0</v>
      </c>
      <c r="D39" s="17" t="n">
        <f aca="false">D35*price_rca_coarse_exworks</f>
        <v>0</v>
      </c>
      <c r="E39" s="17" t="n">
        <f aca="false">E35*price_rca_coarse_exworks</f>
        <v>0</v>
      </c>
      <c r="F39" s="17" t="n">
        <f aca="false">F35*price_rca_coarse_exworks</f>
        <v>0</v>
      </c>
      <c r="G39" s="17" t="n">
        <f aca="false">G35*price_rca_coarse_exworks</f>
        <v>0</v>
      </c>
      <c r="H39" s="17" t="n">
        <f aca="false">H35*price_rca_coarse_exworks</f>
        <v>0</v>
      </c>
      <c r="I39" s="17" t="n">
        <f aca="false">I35*price_rca_coarse_exworks</f>
        <v>0</v>
      </c>
      <c r="J39" s="17" t="n">
        <f aca="false">J35*price_rca_coarse_exworks</f>
        <v>0</v>
      </c>
      <c r="K39" s="17" t="n">
        <f aca="false">K35*price_rca_coarse_exworks</f>
        <v>0</v>
      </c>
      <c r="L39" s="17" t="n">
        <f aca="false">L35*price_rca_coarse_exworks</f>
        <v>0</v>
      </c>
      <c r="M39" s="17" t="n">
        <f aca="false">M35*price_rca_coarse_exworks</f>
        <v>0</v>
      </c>
    </row>
    <row r="40" customFormat="false" ht="15" hidden="false" customHeight="false" outlineLevel="0" collapsed="false">
      <c r="A40" s="2" t="s">
        <v>604</v>
      </c>
      <c r="B40" s="8" t="s">
        <v>72</v>
      </c>
      <c r="C40" s="19" t="n">
        <f aca="false">C36+C37+C38+C39</f>
        <v>0</v>
      </c>
      <c r="D40" s="19" t="n">
        <f aca="false">D36+D37+D38+D39</f>
        <v>0</v>
      </c>
      <c r="E40" s="19" t="n">
        <f aca="false">E36+E37+E38+E39</f>
        <v>0</v>
      </c>
      <c r="F40" s="19" t="n">
        <f aca="false">F36+F37+F38+F39</f>
        <v>0</v>
      </c>
      <c r="G40" s="19" t="n">
        <f aca="false">G36+G37+G38+G39</f>
        <v>0</v>
      </c>
      <c r="H40" s="19" t="n">
        <f aca="false">H36+H37+H38+H39</f>
        <v>0</v>
      </c>
      <c r="I40" s="19" t="n">
        <f aca="false">I36+I37+I38+I39</f>
        <v>0</v>
      </c>
      <c r="J40" s="19" t="n">
        <f aca="false">J36+J37+J38+J39</f>
        <v>0</v>
      </c>
      <c r="K40" s="19" t="n">
        <f aca="false">K36+K37+K38+K39</f>
        <v>0</v>
      </c>
      <c r="L40" s="19" t="n">
        <f aca="false">L36+L37+L38+L39</f>
        <v>0</v>
      </c>
      <c r="M40" s="19" t="n">
        <f aca="false">M36+M37+M38+M39</f>
        <v>0</v>
      </c>
    </row>
    <row r="42" customFormat="false" ht="15" hidden="false" customHeight="false" outlineLevel="0" collapsed="false">
      <c r="A42" s="2" t="s">
        <v>605</v>
      </c>
      <c r="B42" s="8" t="s">
        <v>72</v>
      </c>
      <c r="C42" s="19" t="n">
        <f aca="false">C25+C26+C27+C40</f>
        <v>0</v>
      </c>
      <c r="D42" s="19" t="n">
        <f aca="false">D25+D26+D27+D40</f>
        <v>4762735.5608</v>
      </c>
      <c r="E42" s="19" t="n">
        <f aca="false">E25+E26+E27+E40</f>
        <v>7535689.2409792</v>
      </c>
      <c r="F42" s="19" t="n">
        <f aca="false">F25+F26+F27+F40</f>
        <v>9571544.07552</v>
      </c>
      <c r="G42" s="19" t="n">
        <f aca="false">G25+G26+G27+G40</f>
        <v>9641396.61856</v>
      </c>
      <c r="H42" s="19" t="n">
        <f aca="false">H25+H26+H27+H40</f>
        <v>9873859.5872</v>
      </c>
      <c r="I42" s="19" t="n">
        <f aca="false">I25+I26+I27+I40</f>
        <v>9919932.54112</v>
      </c>
      <c r="J42" s="19" t="n">
        <f aca="false">J25+J26+J27+J40</f>
        <v>9973436.61664</v>
      </c>
      <c r="K42" s="19" t="n">
        <f aca="false">K25+K26+K27+K40</f>
        <v>10034371.81376</v>
      </c>
      <c r="L42" s="19" t="n">
        <f aca="false">L25+L26+L27+L40</f>
        <v>10034371.81376</v>
      </c>
      <c r="M42" s="19" t="n">
        <f aca="false">M25+M26+M27+M40</f>
        <v>10034371.81376</v>
      </c>
    </row>
    <row r="43" customFormat="false" ht="15" hidden="false" customHeight="false" outlineLevel="0" collapsed="false">
      <c r="A43" s="0" t="s">
        <v>606</v>
      </c>
      <c r="B43" s="0" t="s">
        <v>287</v>
      </c>
      <c r="C43" s="21" t="n">
        <f aca="false">IF(C8&gt;0,(C25+C26)/C8,0)</f>
        <v>0</v>
      </c>
      <c r="D43" s="21" t="n">
        <f aca="false">IF(D8&gt;0,(D25+D26)/D8,0)</f>
        <v>136.07815888</v>
      </c>
      <c r="E43" s="21" t="n">
        <f aca="false">IF(E8&gt;0,(E25+E26)/E8,0)</f>
        <v>136.269244864</v>
      </c>
      <c r="F43" s="21" t="n">
        <f aca="false">IF(F8&gt;0,(F25+F26)/F8,0)</f>
        <v>136.736343936</v>
      </c>
      <c r="G43" s="21" t="n">
        <f aca="false">IF(G8&gt;0,(G25+G26)/G8,0)</f>
        <v>137.734237408</v>
      </c>
      <c r="H43" s="21" t="n">
        <f aca="false">IF(H8&gt;0,(H25+H26)/H8,0)</f>
        <v>141.05513696</v>
      </c>
      <c r="I43" s="21" t="n">
        <f aca="false">IF(I8&gt;0,(I25+I26)/I8,0)</f>
        <v>141.713322016</v>
      </c>
      <c r="J43" s="21" t="n">
        <f aca="false">IF(J8&gt;0,(J25+J26)/J8,0)</f>
        <v>142.477665952</v>
      </c>
      <c r="K43" s="21" t="n">
        <f aca="false">IF(K8&gt;0,(K25+K26)/K8,0)</f>
        <v>143.348168768</v>
      </c>
      <c r="L43" s="21" t="n">
        <f aca="false">IF(L8&gt;0,(L25+L26)/L8,0)</f>
        <v>143.348168768</v>
      </c>
      <c r="M43" s="21" t="n">
        <f aca="false">IF(M8&gt;0,(M25+M26)/M8,0)</f>
        <v>143.348168768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3" style="0" width="13"/>
  </cols>
  <sheetData>
    <row r="1" customFormat="false" ht="17.35" hidden="false" customHeight="false" outlineLevel="0" collapsed="false">
      <c r="A1" s="1" t="s">
        <v>607</v>
      </c>
    </row>
    <row r="2" customFormat="false" ht="15" hidden="false" customHeight="false" outlineLevel="0" collapsed="false">
      <c r="A2" s="5" t="s">
        <v>608</v>
      </c>
    </row>
    <row r="3" customFormat="false" ht="15" hidden="false" customHeight="false" outlineLevel="0" collapsed="false">
      <c r="A3" s="14" t="s">
        <v>544</v>
      </c>
      <c r="B3" s="14" t="s">
        <v>36</v>
      </c>
      <c r="C3" s="15" t="n">
        <f aca="false">2026+C4</f>
        <v>2026</v>
      </c>
      <c r="D3" s="15" t="n">
        <f aca="false">2026+D4</f>
        <v>2027</v>
      </c>
      <c r="E3" s="15" t="n">
        <f aca="false">2026+E4</f>
        <v>2028</v>
      </c>
      <c r="F3" s="15" t="n">
        <f aca="false">2026+F4</f>
        <v>2029</v>
      </c>
      <c r="G3" s="15" t="n">
        <f aca="false">2026+G4</f>
        <v>2030</v>
      </c>
      <c r="H3" s="15" t="n">
        <f aca="false">2026+H4</f>
        <v>2031</v>
      </c>
      <c r="I3" s="15" t="n">
        <f aca="false">2026+I4</f>
        <v>2032</v>
      </c>
      <c r="J3" s="15" t="n">
        <f aca="false">2026+J4</f>
        <v>2033</v>
      </c>
      <c r="K3" s="15" t="n">
        <f aca="false">2026+K4</f>
        <v>2034</v>
      </c>
      <c r="L3" s="15" t="n">
        <f aca="false">2026+L4</f>
        <v>2035</v>
      </c>
      <c r="M3" s="15" t="n">
        <f aca="false">2026+M4</f>
        <v>2036</v>
      </c>
    </row>
    <row r="4" customFormat="false" ht="15" hidden="false" customHeight="false" outlineLevel="0" collapsed="false">
      <c r="A4" s="14" t="s">
        <v>545</v>
      </c>
      <c r="B4" s="16"/>
      <c r="C4" s="15" t="n">
        <v>0</v>
      </c>
      <c r="D4" s="15" t="n">
        <v>1</v>
      </c>
      <c r="E4" s="15" t="n">
        <v>2</v>
      </c>
      <c r="F4" s="15" t="n">
        <v>3</v>
      </c>
      <c r="G4" s="15" t="n">
        <v>4</v>
      </c>
      <c r="H4" s="15" t="n">
        <v>5</v>
      </c>
      <c r="I4" s="15" t="n">
        <v>6</v>
      </c>
      <c r="J4" s="15" t="n">
        <v>7</v>
      </c>
      <c r="K4" s="15" t="n">
        <v>8</v>
      </c>
      <c r="L4" s="15" t="n">
        <v>9</v>
      </c>
      <c r="M4" s="15" t="n">
        <v>10</v>
      </c>
    </row>
    <row r="6" customFormat="false" ht="15" hidden="false" customHeight="false" outlineLevel="0" collapsed="false">
      <c r="A6" s="9" t="s">
        <v>609</v>
      </c>
    </row>
    <row r="7" customFormat="false" ht="15" hidden="false" customHeight="false" outlineLevel="0" collapsed="false">
      <c r="A7" s="0" t="s">
        <v>610</v>
      </c>
      <c r="B7" s="0" t="s">
        <v>197</v>
      </c>
      <c r="C7" s="21" t="n">
        <f aca="false">price_rca_coarse_exworks+rca_transport_distance*road_haulage_rate+road_handling_per_t</f>
        <v>24.5</v>
      </c>
    </row>
    <row r="8" customFormat="false" ht="15" hidden="false" customHeight="false" outlineLevel="0" collapsed="false">
      <c r="A8" s="0" t="s">
        <v>611</v>
      </c>
      <c r="B8" s="0" t="s">
        <v>287</v>
      </c>
      <c r="C8" s="21" t="n">
        <f aca="false">mix_circ_rca_coarse/1000*(rca_lot_testing+rca_handling_prewetting)</f>
        <v>1.008</v>
      </c>
    </row>
    <row r="9" customFormat="false" ht="15" hidden="false" customHeight="false" outlineLevel="0" collapsed="false">
      <c r="A9" s="0" t="s">
        <v>612</v>
      </c>
      <c r="B9" s="0" t="s">
        <v>287</v>
      </c>
      <c r="C9" s="21" t="n">
        <f aca="false">electricity_use*price_electricity+diesel_use_plant*price_diesel</f>
        <v>0.906</v>
      </c>
    </row>
    <row r="10" customFormat="false" ht="15" hidden="false" customHeight="false" outlineLevel="0" collapsed="false">
      <c r="A10" s="0" t="s">
        <v>613</v>
      </c>
      <c r="B10" s="0" t="s">
        <v>287</v>
      </c>
      <c r="C10" s="21" t="n">
        <f aca="false">delivery_fixed_per_m3+delivery_variable_per_km_oneway*delivery_avg_distance_oneway</f>
        <v>19</v>
      </c>
    </row>
    <row r="12" customFormat="false" ht="15" hidden="false" customHeight="false" outlineLevel="0" collapsed="false">
      <c r="A12" s="9" t="s">
        <v>614</v>
      </c>
    </row>
    <row r="13" customFormat="false" ht="15" hidden="false" customHeight="false" outlineLevel="0" collapsed="false">
      <c r="A13" s="0" t="s">
        <v>615</v>
      </c>
      <c r="B13" s="0" t="s">
        <v>287</v>
      </c>
      <c r="C13" s="21" t="n">
        <f aca="false">mix_plant_avg_binder_circ/1000*Revenue!C15</f>
        <v>35.75</v>
      </c>
      <c r="D13" s="21" t="n">
        <f aca="false">mix_plant_avg_binder_circ/1000*Revenue!D15</f>
        <v>35.888125</v>
      </c>
      <c r="E13" s="21" t="n">
        <f aca="false">mix_plant_avg_binder_circ/1000*Revenue!E15</f>
        <v>36.13675</v>
      </c>
      <c r="F13" s="21" t="n">
        <f aca="false">mix_plant_avg_binder_circ/1000*Revenue!F15</f>
        <v>36.7445</v>
      </c>
      <c r="G13" s="21" t="n">
        <f aca="false">mix_plant_avg_binder_circ/1000*Revenue!G15</f>
        <v>38.042875</v>
      </c>
      <c r="H13" s="21" t="n">
        <f aca="false">mix_plant_avg_binder_circ/1000*Revenue!H15</f>
        <v>42.36375</v>
      </c>
      <c r="I13" s="21" t="n">
        <f aca="false">mix_plant_avg_binder_circ/1000*Revenue!I15</f>
        <v>43.220125</v>
      </c>
      <c r="J13" s="21" t="n">
        <f aca="false">mix_plant_avg_binder_circ/1000*Revenue!J15</f>
        <v>44.214625</v>
      </c>
      <c r="K13" s="21" t="n">
        <f aca="false">mix_plant_avg_binder_circ/1000*Revenue!K15</f>
        <v>45.34725</v>
      </c>
      <c r="L13" s="21" t="n">
        <f aca="false">mix_plant_avg_binder_circ/1000*Revenue!L15</f>
        <v>45.34725</v>
      </c>
      <c r="M13" s="21" t="n">
        <f aca="false">mix_plant_avg_binder_circ/1000*Revenue!M15</f>
        <v>45.34725</v>
      </c>
    </row>
    <row r="14" customFormat="false" ht="15" hidden="false" customHeight="false" outlineLevel="0" collapsed="false">
      <c r="A14" s="0" t="s">
        <v>514</v>
      </c>
      <c r="B14" s="0" t="s">
        <v>287</v>
      </c>
      <c r="C14" s="21" t="n">
        <f aca="false">mix_circ_gravel/1000*price_gravel_delivered</f>
        <v>19.84</v>
      </c>
      <c r="D14" s="21" t="n">
        <f aca="false">mix_circ_gravel/1000*price_gravel_delivered</f>
        <v>19.84</v>
      </c>
      <c r="E14" s="21" t="n">
        <f aca="false">mix_circ_gravel/1000*price_gravel_delivered</f>
        <v>19.84</v>
      </c>
      <c r="F14" s="21" t="n">
        <f aca="false">mix_circ_gravel/1000*price_gravel_delivered</f>
        <v>19.84</v>
      </c>
      <c r="G14" s="21" t="n">
        <f aca="false">mix_circ_gravel/1000*price_gravel_delivered</f>
        <v>19.84</v>
      </c>
      <c r="H14" s="21" t="n">
        <f aca="false">mix_circ_gravel/1000*price_gravel_delivered</f>
        <v>19.84</v>
      </c>
      <c r="I14" s="21" t="n">
        <f aca="false">mix_circ_gravel/1000*price_gravel_delivered</f>
        <v>19.84</v>
      </c>
      <c r="J14" s="21" t="n">
        <f aca="false">mix_circ_gravel/1000*price_gravel_delivered</f>
        <v>19.84</v>
      </c>
      <c r="K14" s="21" t="n">
        <f aca="false">mix_circ_gravel/1000*price_gravel_delivered</f>
        <v>19.84</v>
      </c>
      <c r="L14" s="21" t="n">
        <f aca="false">mix_circ_gravel/1000*price_gravel_delivered</f>
        <v>19.84</v>
      </c>
      <c r="M14" s="21" t="n">
        <f aca="false">mix_circ_gravel/1000*price_gravel_delivered</f>
        <v>19.84</v>
      </c>
    </row>
    <row r="15" customFormat="false" ht="15" hidden="false" customHeight="false" outlineLevel="0" collapsed="false">
      <c r="A15" s="0" t="s">
        <v>616</v>
      </c>
      <c r="B15" s="0" t="s">
        <v>287</v>
      </c>
      <c r="C15" s="21" t="n">
        <f aca="false">mix_circ_rca_coarse/1000*$C$7+mix_circ_rca_fine/1000*price_rca_fine_exworks</f>
        <v>13.72</v>
      </c>
      <c r="D15" s="21" t="n">
        <f aca="false">mix_circ_rca_coarse/1000*$C$7+mix_circ_rca_fine/1000*price_rca_fine_exworks</f>
        <v>13.72</v>
      </c>
      <c r="E15" s="21" t="n">
        <f aca="false">mix_circ_rca_coarse/1000*$C$7+mix_circ_rca_fine/1000*price_rca_fine_exworks</f>
        <v>13.72</v>
      </c>
      <c r="F15" s="21" t="n">
        <f aca="false">mix_circ_rca_coarse/1000*$C$7+mix_circ_rca_fine/1000*price_rca_fine_exworks</f>
        <v>13.72</v>
      </c>
      <c r="G15" s="21" t="n">
        <f aca="false">mix_circ_rca_coarse/1000*$C$7+mix_circ_rca_fine/1000*price_rca_fine_exworks</f>
        <v>13.72</v>
      </c>
      <c r="H15" s="21" t="n">
        <f aca="false">mix_circ_rca_coarse/1000*$C$7+mix_circ_rca_fine/1000*price_rca_fine_exworks</f>
        <v>13.72</v>
      </c>
      <c r="I15" s="21" t="n">
        <f aca="false">mix_circ_rca_coarse/1000*$C$7+mix_circ_rca_fine/1000*price_rca_fine_exworks</f>
        <v>13.72</v>
      </c>
      <c r="J15" s="21" t="n">
        <f aca="false">mix_circ_rca_coarse/1000*$C$7+mix_circ_rca_fine/1000*price_rca_fine_exworks</f>
        <v>13.72</v>
      </c>
      <c r="K15" s="21" t="n">
        <f aca="false">mix_circ_rca_coarse/1000*$C$7+mix_circ_rca_fine/1000*price_rca_fine_exworks</f>
        <v>13.72</v>
      </c>
      <c r="L15" s="21" t="n">
        <f aca="false">mix_circ_rca_coarse/1000*$C$7+mix_circ_rca_fine/1000*price_rca_fine_exworks</f>
        <v>13.72</v>
      </c>
      <c r="M15" s="21" t="n">
        <f aca="false">mix_circ_rca_coarse/1000*$C$7+mix_circ_rca_fine/1000*price_rca_fine_exworks</f>
        <v>13.72</v>
      </c>
    </row>
    <row r="16" customFormat="false" ht="15" hidden="false" customHeight="false" outlineLevel="0" collapsed="false">
      <c r="A16" s="0" t="s">
        <v>516</v>
      </c>
      <c r="B16" s="0" t="s">
        <v>287</v>
      </c>
      <c r="C16" s="21" t="n">
        <f aca="false">mix_circ_sand/1000*price_sand_delivered</f>
        <v>11.97</v>
      </c>
      <c r="D16" s="21" t="n">
        <f aca="false">mix_circ_sand/1000*price_sand_delivered</f>
        <v>11.97</v>
      </c>
      <c r="E16" s="21" t="n">
        <f aca="false">mix_circ_sand/1000*price_sand_delivered</f>
        <v>11.97</v>
      </c>
      <c r="F16" s="21" t="n">
        <f aca="false">mix_circ_sand/1000*price_sand_delivered</f>
        <v>11.97</v>
      </c>
      <c r="G16" s="21" t="n">
        <f aca="false">mix_circ_sand/1000*price_sand_delivered</f>
        <v>11.97</v>
      </c>
      <c r="H16" s="21" t="n">
        <f aca="false">mix_circ_sand/1000*price_sand_delivered</f>
        <v>11.97</v>
      </c>
      <c r="I16" s="21" t="n">
        <f aca="false">mix_circ_sand/1000*price_sand_delivered</f>
        <v>11.97</v>
      </c>
      <c r="J16" s="21" t="n">
        <f aca="false">mix_circ_sand/1000*price_sand_delivered</f>
        <v>11.97</v>
      </c>
      <c r="K16" s="21" t="n">
        <f aca="false">mix_circ_sand/1000*price_sand_delivered</f>
        <v>11.97</v>
      </c>
      <c r="L16" s="21" t="n">
        <f aca="false">mix_circ_sand/1000*price_sand_delivered</f>
        <v>11.97</v>
      </c>
      <c r="M16" s="21" t="n">
        <f aca="false">mix_circ_sand/1000*price_sand_delivered</f>
        <v>11.97</v>
      </c>
    </row>
    <row r="17" customFormat="false" ht="15" hidden="false" customHeight="false" outlineLevel="0" collapsed="false">
      <c r="A17" s="0" t="s">
        <v>617</v>
      </c>
      <c r="B17" s="0" t="s">
        <v>287</v>
      </c>
      <c r="C17" s="21" t="n">
        <f aca="false">mix_plant_avg_binder_circ*mix_circ_superplasticiser_pct_binder/100*price_superplasticiser</f>
        <v>4.095</v>
      </c>
      <c r="D17" s="21" t="n">
        <f aca="false">mix_plant_avg_binder_circ*mix_circ_superplasticiser_pct_binder/100*price_superplasticiser</f>
        <v>4.095</v>
      </c>
      <c r="E17" s="21" t="n">
        <f aca="false">mix_plant_avg_binder_circ*mix_circ_superplasticiser_pct_binder/100*price_superplasticiser</f>
        <v>4.095</v>
      </c>
      <c r="F17" s="21" t="n">
        <f aca="false">mix_plant_avg_binder_circ*mix_circ_superplasticiser_pct_binder/100*price_superplasticiser</f>
        <v>4.095</v>
      </c>
      <c r="G17" s="21" t="n">
        <f aca="false">mix_plant_avg_binder_circ*mix_circ_superplasticiser_pct_binder/100*price_superplasticiser</f>
        <v>4.095</v>
      </c>
      <c r="H17" s="21" t="n">
        <f aca="false">mix_plant_avg_binder_circ*mix_circ_superplasticiser_pct_binder/100*price_superplasticiser</f>
        <v>4.095</v>
      </c>
      <c r="I17" s="21" t="n">
        <f aca="false">mix_plant_avg_binder_circ*mix_circ_superplasticiser_pct_binder/100*price_superplasticiser</f>
        <v>4.095</v>
      </c>
      <c r="J17" s="21" t="n">
        <f aca="false">mix_plant_avg_binder_circ*mix_circ_superplasticiser_pct_binder/100*price_superplasticiser</f>
        <v>4.095</v>
      </c>
      <c r="K17" s="21" t="n">
        <f aca="false">mix_plant_avg_binder_circ*mix_circ_superplasticiser_pct_binder/100*price_superplasticiser</f>
        <v>4.095</v>
      </c>
      <c r="L17" s="21" t="n">
        <f aca="false">mix_plant_avg_binder_circ*mix_circ_superplasticiser_pct_binder/100*price_superplasticiser</f>
        <v>4.095</v>
      </c>
      <c r="M17" s="21" t="n">
        <f aca="false">mix_plant_avg_binder_circ*mix_circ_superplasticiser_pct_binder/100*price_superplasticiser</f>
        <v>4.095</v>
      </c>
    </row>
    <row r="18" customFormat="false" ht="15" hidden="false" customHeight="false" outlineLevel="0" collapsed="false">
      <c r="A18" s="0" t="s">
        <v>618</v>
      </c>
      <c r="B18" s="0" t="s">
        <v>287</v>
      </c>
      <c r="C18" s="21" t="n">
        <f aca="false">(mix_circ_water_effective+mix_circ_water_absorption)/1000*price_water</f>
        <v>0.2316</v>
      </c>
      <c r="D18" s="21" t="n">
        <f aca="false">(mix_circ_water_effective+mix_circ_water_absorption)/1000*price_water</f>
        <v>0.2316</v>
      </c>
      <c r="E18" s="21" t="n">
        <f aca="false">(mix_circ_water_effective+mix_circ_water_absorption)/1000*price_water</f>
        <v>0.2316</v>
      </c>
      <c r="F18" s="21" t="n">
        <f aca="false">(mix_circ_water_effective+mix_circ_water_absorption)/1000*price_water</f>
        <v>0.2316</v>
      </c>
      <c r="G18" s="21" t="n">
        <f aca="false">(mix_circ_water_effective+mix_circ_water_absorption)/1000*price_water</f>
        <v>0.2316</v>
      </c>
      <c r="H18" s="21" t="n">
        <f aca="false">(mix_circ_water_effective+mix_circ_water_absorption)/1000*price_water</f>
        <v>0.2316</v>
      </c>
      <c r="I18" s="21" t="n">
        <f aca="false">(mix_circ_water_effective+mix_circ_water_absorption)/1000*price_water</f>
        <v>0.2316</v>
      </c>
      <c r="J18" s="21" t="n">
        <f aca="false">(mix_circ_water_effective+mix_circ_water_absorption)/1000*price_water</f>
        <v>0.2316</v>
      </c>
      <c r="K18" s="21" t="n">
        <f aca="false">(mix_circ_water_effective+mix_circ_water_absorption)/1000*price_water</f>
        <v>0.2316</v>
      </c>
      <c r="L18" s="21" t="n">
        <f aca="false">(mix_circ_water_effective+mix_circ_water_absorption)/1000*price_water</f>
        <v>0.2316</v>
      </c>
      <c r="M18" s="21" t="n">
        <f aca="false">(mix_circ_water_effective+mix_circ_water_absorption)/1000*price_water</f>
        <v>0.2316</v>
      </c>
    </row>
    <row r="19" customFormat="false" ht="15" hidden="false" customHeight="false" outlineLevel="0" collapsed="false">
      <c r="A19" s="2" t="s">
        <v>619</v>
      </c>
      <c r="B19" s="8" t="s">
        <v>287</v>
      </c>
      <c r="C19" s="10" t="n">
        <f aca="false">C13+C14+C15+C16+C17+C18</f>
        <v>85.6066</v>
      </c>
      <c r="D19" s="10" t="n">
        <f aca="false">D13+D14+D15+D16+D17+D18</f>
        <v>85.744725</v>
      </c>
      <c r="E19" s="10" t="n">
        <f aca="false">E13+E14+E15+E16+E17+E18</f>
        <v>85.99335</v>
      </c>
      <c r="F19" s="10" t="n">
        <f aca="false">F13+F14+F15+F16+F17+F18</f>
        <v>86.6011</v>
      </c>
      <c r="G19" s="10" t="n">
        <f aca="false">G13+G14+G15+G16+G17+G18</f>
        <v>87.899475</v>
      </c>
      <c r="H19" s="10" t="n">
        <f aca="false">H13+H14+H15+H16+H17+H18</f>
        <v>92.22035</v>
      </c>
      <c r="I19" s="10" t="n">
        <f aca="false">I13+I14+I15+I16+I17+I18</f>
        <v>93.076725</v>
      </c>
      <c r="J19" s="10" t="n">
        <f aca="false">J13+J14+J15+J16+J17+J18</f>
        <v>94.071225</v>
      </c>
      <c r="K19" s="10" t="n">
        <f aca="false">K13+K14+K15+K16+K17+K18</f>
        <v>95.20385</v>
      </c>
      <c r="L19" s="10" t="n">
        <f aca="false">L13+L14+L15+L16+L17+L18</f>
        <v>95.20385</v>
      </c>
      <c r="M19" s="10" t="n">
        <f aca="false">M13+M14+M15+M16+M17+M18</f>
        <v>95.20385</v>
      </c>
    </row>
    <row r="20" customFormat="false" ht="15" hidden="false" customHeight="false" outlineLevel="0" collapsed="false">
      <c r="A20" s="9" t="s">
        <v>620</v>
      </c>
    </row>
    <row r="21" customFormat="false" ht="15" hidden="false" customHeight="false" outlineLevel="0" collapsed="false">
      <c r="A21" s="0" t="s">
        <v>615</v>
      </c>
      <c r="B21" s="0" t="s">
        <v>287</v>
      </c>
      <c r="C21" s="21" t="n">
        <f aca="false">mix_plant_avg_binder_conv/1000*Revenue!C15</f>
        <v>34.1</v>
      </c>
      <c r="D21" s="21" t="n">
        <f aca="false">mix_plant_avg_binder_conv/1000*Revenue!D15</f>
        <v>34.23175</v>
      </c>
      <c r="E21" s="21" t="n">
        <f aca="false">mix_plant_avg_binder_conv/1000*Revenue!E15</f>
        <v>34.4689</v>
      </c>
      <c r="F21" s="21" t="n">
        <f aca="false">mix_plant_avg_binder_conv/1000*Revenue!F15</f>
        <v>35.0486</v>
      </c>
      <c r="G21" s="21" t="n">
        <f aca="false">mix_plant_avg_binder_conv/1000*Revenue!G15</f>
        <v>36.28705</v>
      </c>
      <c r="H21" s="21" t="n">
        <f aca="false">mix_plant_avg_binder_conv/1000*Revenue!H15</f>
        <v>40.4085</v>
      </c>
      <c r="I21" s="21" t="n">
        <f aca="false">mix_plant_avg_binder_conv/1000*Revenue!I15</f>
        <v>41.22535</v>
      </c>
      <c r="J21" s="21" t="n">
        <f aca="false">mix_plant_avg_binder_conv/1000*Revenue!J15</f>
        <v>42.17395</v>
      </c>
      <c r="K21" s="21" t="n">
        <f aca="false">mix_plant_avg_binder_conv/1000*Revenue!K15</f>
        <v>43.2543</v>
      </c>
      <c r="L21" s="21" t="n">
        <f aca="false">mix_plant_avg_binder_conv/1000*Revenue!L15</f>
        <v>43.2543</v>
      </c>
      <c r="M21" s="21" t="n">
        <f aca="false">mix_plant_avg_binder_conv/1000*Revenue!M15</f>
        <v>43.2543</v>
      </c>
    </row>
    <row r="22" customFormat="false" ht="15" hidden="false" customHeight="false" outlineLevel="0" collapsed="false">
      <c r="A22" s="0" t="s">
        <v>514</v>
      </c>
      <c r="B22" s="0" t="s">
        <v>287</v>
      </c>
      <c r="C22" s="21" t="n">
        <f aca="false">mix_conv_cem3b_gravel/1000*price_gravel_delivered</f>
        <v>39.712</v>
      </c>
      <c r="D22" s="21" t="n">
        <f aca="false">mix_conv_cem3b_gravel/1000*price_gravel_delivered</f>
        <v>39.712</v>
      </c>
      <c r="E22" s="21" t="n">
        <f aca="false">mix_conv_cem3b_gravel/1000*price_gravel_delivered</f>
        <v>39.712</v>
      </c>
      <c r="F22" s="21" t="n">
        <f aca="false">mix_conv_cem3b_gravel/1000*price_gravel_delivered</f>
        <v>39.712</v>
      </c>
      <c r="G22" s="21" t="n">
        <f aca="false">mix_conv_cem3b_gravel/1000*price_gravel_delivered</f>
        <v>39.712</v>
      </c>
      <c r="H22" s="21" t="n">
        <f aca="false">mix_conv_cem3b_gravel/1000*price_gravel_delivered</f>
        <v>39.712</v>
      </c>
      <c r="I22" s="21" t="n">
        <f aca="false">mix_conv_cem3b_gravel/1000*price_gravel_delivered</f>
        <v>39.712</v>
      </c>
      <c r="J22" s="21" t="n">
        <f aca="false">mix_conv_cem3b_gravel/1000*price_gravel_delivered</f>
        <v>39.712</v>
      </c>
      <c r="K22" s="21" t="n">
        <f aca="false">mix_conv_cem3b_gravel/1000*price_gravel_delivered</f>
        <v>39.712</v>
      </c>
      <c r="L22" s="21" t="n">
        <f aca="false">mix_conv_cem3b_gravel/1000*price_gravel_delivered</f>
        <v>39.712</v>
      </c>
      <c r="M22" s="21" t="n">
        <f aca="false">mix_conv_cem3b_gravel/1000*price_gravel_delivered</f>
        <v>39.712</v>
      </c>
    </row>
    <row r="23" customFormat="false" ht="15" hidden="false" customHeight="false" outlineLevel="0" collapsed="false">
      <c r="A23" s="0" t="s">
        <v>621</v>
      </c>
      <c r="B23" s="0" t="s">
        <v>287</v>
      </c>
      <c r="C23" s="21" t="n">
        <f aca="false">mix_conv_cem3b_rca_coarse/1000*$C$7</f>
        <v>0</v>
      </c>
      <c r="D23" s="21" t="n">
        <f aca="false">mix_conv_cem3b_rca_coarse/1000*$C$7</f>
        <v>0</v>
      </c>
      <c r="E23" s="21" t="n">
        <f aca="false">mix_conv_cem3b_rca_coarse/1000*$C$7</f>
        <v>0</v>
      </c>
      <c r="F23" s="21" t="n">
        <f aca="false">mix_conv_cem3b_rca_coarse/1000*$C$7</f>
        <v>0</v>
      </c>
      <c r="G23" s="21" t="n">
        <f aca="false">mix_conv_cem3b_rca_coarse/1000*$C$7</f>
        <v>0</v>
      </c>
      <c r="H23" s="21" t="n">
        <f aca="false">mix_conv_cem3b_rca_coarse/1000*$C$7</f>
        <v>0</v>
      </c>
      <c r="I23" s="21" t="n">
        <f aca="false">mix_conv_cem3b_rca_coarse/1000*$C$7</f>
        <v>0</v>
      </c>
      <c r="J23" s="21" t="n">
        <f aca="false">mix_conv_cem3b_rca_coarse/1000*$C$7</f>
        <v>0</v>
      </c>
      <c r="K23" s="21" t="n">
        <f aca="false">mix_conv_cem3b_rca_coarse/1000*$C$7</f>
        <v>0</v>
      </c>
      <c r="L23" s="21" t="n">
        <f aca="false">mix_conv_cem3b_rca_coarse/1000*$C$7</f>
        <v>0</v>
      </c>
      <c r="M23" s="21" t="n">
        <f aca="false">mix_conv_cem3b_rca_coarse/1000*$C$7</f>
        <v>0</v>
      </c>
    </row>
    <row r="24" customFormat="false" ht="15" hidden="false" customHeight="false" outlineLevel="0" collapsed="false">
      <c r="A24" s="0" t="s">
        <v>516</v>
      </c>
      <c r="B24" s="0" t="s">
        <v>287</v>
      </c>
      <c r="C24" s="21" t="n">
        <f aca="false">mix_conv_cem3b_sand/1000*price_sand_delivered</f>
        <v>12.141</v>
      </c>
      <c r="D24" s="21" t="n">
        <f aca="false">mix_conv_cem3b_sand/1000*price_sand_delivered</f>
        <v>12.141</v>
      </c>
      <c r="E24" s="21" t="n">
        <f aca="false">mix_conv_cem3b_sand/1000*price_sand_delivered</f>
        <v>12.141</v>
      </c>
      <c r="F24" s="21" t="n">
        <f aca="false">mix_conv_cem3b_sand/1000*price_sand_delivered</f>
        <v>12.141</v>
      </c>
      <c r="G24" s="21" t="n">
        <f aca="false">mix_conv_cem3b_sand/1000*price_sand_delivered</f>
        <v>12.141</v>
      </c>
      <c r="H24" s="21" t="n">
        <f aca="false">mix_conv_cem3b_sand/1000*price_sand_delivered</f>
        <v>12.141</v>
      </c>
      <c r="I24" s="21" t="n">
        <f aca="false">mix_conv_cem3b_sand/1000*price_sand_delivered</f>
        <v>12.141</v>
      </c>
      <c r="J24" s="21" t="n">
        <f aca="false">mix_conv_cem3b_sand/1000*price_sand_delivered</f>
        <v>12.141</v>
      </c>
      <c r="K24" s="21" t="n">
        <f aca="false">mix_conv_cem3b_sand/1000*price_sand_delivered</f>
        <v>12.141</v>
      </c>
      <c r="L24" s="21" t="n">
        <f aca="false">mix_conv_cem3b_sand/1000*price_sand_delivered</f>
        <v>12.141</v>
      </c>
      <c r="M24" s="21" t="n">
        <f aca="false">mix_conv_cem3b_sand/1000*price_sand_delivered</f>
        <v>12.141</v>
      </c>
    </row>
    <row r="25" customFormat="false" ht="15" hidden="false" customHeight="false" outlineLevel="0" collapsed="false">
      <c r="A25" s="0" t="s">
        <v>617</v>
      </c>
      <c r="B25" s="0" t="s">
        <v>287</v>
      </c>
      <c r="C25" s="21" t="n">
        <f aca="false">mix_plant_avg_binder_conv*mix_conv_cem3b_superplasticiser_pct_binder/100*price_superplasticiser</f>
        <v>3.038</v>
      </c>
      <c r="D25" s="21" t="n">
        <f aca="false">mix_plant_avg_binder_conv*mix_conv_cem3b_superplasticiser_pct_binder/100*price_superplasticiser</f>
        <v>3.038</v>
      </c>
      <c r="E25" s="21" t="n">
        <f aca="false">mix_plant_avg_binder_conv*mix_conv_cem3b_superplasticiser_pct_binder/100*price_superplasticiser</f>
        <v>3.038</v>
      </c>
      <c r="F25" s="21" t="n">
        <f aca="false">mix_plant_avg_binder_conv*mix_conv_cem3b_superplasticiser_pct_binder/100*price_superplasticiser</f>
        <v>3.038</v>
      </c>
      <c r="G25" s="21" t="n">
        <f aca="false">mix_plant_avg_binder_conv*mix_conv_cem3b_superplasticiser_pct_binder/100*price_superplasticiser</f>
        <v>3.038</v>
      </c>
      <c r="H25" s="21" t="n">
        <f aca="false">mix_plant_avg_binder_conv*mix_conv_cem3b_superplasticiser_pct_binder/100*price_superplasticiser</f>
        <v>3.038</v>
      </c>
      <c r="I25" s="21" t="n">
        <f aca="false">mix_plant_avg_binder_conv*mix_conv_cem3b_superplasticiser_pct_binder/100*price_superplasticiser</f>
        <v>3.038</v>
      </c>
      <c r="J25" s="21" t="n">
        <f aca="false">mix_plant_avg_binder_conv*mix_conv_cem3b_superplasticiser_pct_binder/100*price_superplasticiser</f>
        <v>3.038</v>
      </c>
      <c r="K25" s="21" t="n">
        <f aca="false">mix_plant_avg_binder_conv*mix_conv_cem3b_superplasticiser_pct_binder/100*price_superplasticiser</f>
        <v>3.038</v>
      </c>
      <c r="L25" s="21" t="n">
        <f aca="false">mix_plant_avg_binder_conv*mix_conv_cem3b_superplasticiser_pct_binder/100*price_superplasticiser</f>
        <v>3.038</v>
      </c>
      <c r="M25" s="21" t="n">
        <f aca="false">mix_plant_avg_binder_conv*mix_conv_cem3b_superplasticiser_pct_binder/100*price_superplasticiser</f>
        <v>3.038</v>
      </c>
    </row>
    <row r="26" customFormat="false" ht="15" hidden="false" customHeight="false" outlineLevel="0" collapsed="false">
      <c r="A26" s="0" t="s">
        <v>518</v>
      </c>
      <c r="B26" s="0" t="s">
        <v>287</v>
      </c>
      <c r="C26" s="21" t="n">
        <f aca="false">(mix_conv_cem3b_water_effective+mix_conv_cem3b_water_absorption)/1000*price_water</f>
        <v>0.198</v>
      </c>
      <c r="D26" s="21" t="n">
        <f aca="false">(mix_conv_cem3b_water_effective+mix_conv_cem3b_water_absorption)/1000*price_water</f>
        <v>0.198</v>
      </c>
      <c r="E26" s="21" t="n">
        <f aca="false">(mix_conv_cem3b_water_effective+mix_conv_cem3b_water_absorption)/1000*price_water</f>
        <v>0.198</v>
      </c>
      <c r="F26" s="21" t="n">
        <f aca="false">(mix_conv_cem3b_water_effective+mix_conv_cem3b_water_absorption)/1000*price_water</f>
        <v>0.198</v>
      </c>
      <c r="G26" s="21" t="n">
        <f aca="false">(mix_conv_cem3b_water_effective+mix_conv_cem3b_water_absorption)/1000*price_water</f>
        <v>0.198</v>
      </c>
      <c r="H26" s="21" t="n">
        <f aca="false">(mix_conv_cem3b_water_effective+mix_conv_cem3b_water_absorption)/1000*price_water</f>
        <v>0.198</v>
      </c>
      <c r="I26" s="21" t="n">
        <f aca="false">(mix_conv_cem3b_water_effective+mix_conv_cem3b_water_absorption)/1000*price_water</f>
        <v>0.198</v>
      </c>
      <c r="J26" s="21" t="n">
        <f aca="false">(mix_conv_cem3b_water_effective+mix_conv_cem3b_water_absorption)/1000*price_water</f>
        <v>0.198</v>
      </c>
      <c r="K26" s="21" t="n">
        <f aca="false">(mix_conv_cem3b_water_effective+mix_conv_cem3b_water_absorption)/1000*price_water</f>
        <v>0.198</v>
      </c>
      <c r="L26" s="21" t="n">
        <f aca="false">(mix_conv_cem3b_water_effective+mix_conv_cem3b_water_absorption)/1000*price_water</f>
        <v>0.198</v>
      </c>
      <c r="M26" s="21" t="n">
        <f aca="false">(mix_conv_cem3b_water_effective+mix_conv_cem3b_water_absorption)/1000*price_water</f>
        <v>0.198</v>
      </c>
    </row>
    <row r="27" customFormat="false" ht="15" hidden="false" customHeight="false" outlineLevel="0" collapsed="false">
      <c r="A27" s="2" t="s">
        <v>622</v>
      </c>
      <c r="B27" s="8" t="s">
        <v>287</v>
      </c>
      <c r="C27" s="10" t="n">
        <f aca="false">C21+C22+C23+C24+C25+C26</f>
        <v>89.189</v>
      </c>
      <c r="D27" s="10" t="n">
        <f aca="false">D21+D22+D23+D24+D25+D26</f>
        <v>89.32075</v>
      </c>
      <c r="E27" s="10" t="n">
        <f aca="false">E21+E22+E23+E24+E25+E26</f>
        <v>89.5579</v>
      </c>
      <c r="F27" s="10" t="n">
        <f aca="false">F21+F22+F23+F24+F25+F26</f>
        <v>90.1376</v>
      </c>
      <c r="G27" s="10" t="n">
        <f aca="false">G21+G22+G23+G24+G25+G26</f>
        <v>91.37605</v>
      </c>
      <c r="H27" s="10" t="n">
        <f aca="false">H21+H22+H23+H24+H25+H26</f>
        <v>95.4975</v>
      </c>
      <c r="I27" s="10" t="n">
        <f aca="false">I21+I22+I23+I24+I25+I26</f>
        <v>96.31435</v>
      </c>
      <c r="J27" s="10" t="n">
        <f aca="false">J21+J22+J23+J24+J25+J26</f>
        <v>97.26295</v>
      </c>
      <c r="K27" s="10" t="n">
        <f aca="false">K21+K22+K23+K24+K25+K26</f>
        <v>98.3433</v>
      </c>
      <c r="L27" s="10" t="n">
        <f aca="false">L21+L22+L23+L24+L25+L26</f>
        <v>98.3433</v>
      </c>
      <c r="M27" s="10" t="n">
        <f aca="false">M21+M22+M23+M24+M25+M26</f>
        <v>98.3433</v>
      </c>
    </row>
    <row r="29" customFormat="false" ht="15" hidden="false" customHeight="false" outlineLevel="0" collapsed="false">
      <c r="A29" s="9" t="s">
        <v>623</v>
      </c>
    </row>
    <row r="30" customFormat="false" ht="15" hidden="false" customHeight="false" outlineLevel="0" collapsed="false">
      <c r="A30" s="0" t="s">
        <v>624</v>
      </c>
      <c r="B30" s="0" t="s">
        <v>51</v>
      </c>
      <c r="C30" s="18" t="n">
        <f aca="false">IF(C$4&gt;=1+opt_start_delay,1,0)</f>
        <v>0</v>
      </c>
      <c r="D30" s="18" t="n">
        <f aca="false">IF(D$4&gt;=1+opt_start_delay,1,0)</f>
        <v>1</v>
      </c>
      <c r="E30" s="18" t="n">
        <f aca="false">IF(E$4&gt;=1+opt_start_delay,1,0)</f>
        <v>1</v>
      </c>
      <c r="F30" s="18" t="n">
        <f aca="false">IF(F$4&gt;=1+opt_start_delay,1,0)</f>
        <v>1</v>
      </c>
      <c r="G30" s="18" t="n">
        <f aca="false">IF(G$4&gt;=1+opt_start_delay,1,0)</f>
        <v>1</v>
      </c>
      <c r="H30" s="18" t="n">
        <f aca="false">IF(H$4&gt;=1+opt_start_delay,1,0)</f>
        <v>1</v>
      </c>
      <c r="I30" s="18" t="n">
        <f aca="false">IF(I$4&gt;=1+opt_start_delay,1,0)</f>
        <v>1</v>
      </c>
      <c r="J30" s="18" t="n">
        <f aca="false">IF(J$4&gt;=1+opt_start_delay,1,0)</f>
        <v>1</v>
      </c>
      <c r="K30" s="18" t="n">
        <f aca="false">IF(K$4&gt;=1+opt_start_delay,1,0)</f>
        <v>1</v>
      </c>
      <c r="L30" s="18" t="n">
        <f aca="false">IF(L$4&gt;=1+opt_start_delay,1,0)</f>
        <v>1</v>
      </c>
      <c r="M30" s="18" t="n">
        <f aca="false">IF(M$4&gt;=1+opt_start_delay,1,0)</f>
        <v>1</v>
      </c>
    </row>
    <row r="31" customFormat="false" ht="15" hidden="false" customHeight="false" outlineLevel="0" collapsed="false">
      <c r="A31" s="0" t="s">
        <v>625</v>
      </c>
      <c r="B31" s="0" t="s">
        <v>61</v>
      </c>
      <c r="C31" s="23" t="n">
        <f aca="false">(1+real_wage_growth/100)^C$4</f>
        <v>1</v>
      </c>
      <c r="D31" s="23" t="n">
        <f aca="false">(1+real_wage_growth/100)^D$4</f>
        <v>1.005</v>
      </c>
      <c r="E31" s="23" t="n">
        <f aca="false">(1+real_wage_growth/100)^E$4</f>
        <v>1.010025</v>
      </c>
      <c r="F31" s="23" t="n">
        <f aca="false">(1+real_wage_growth/100)^F$4</f>
        <v>1.015075125</v>
      </c>
      <c r="G31" s="23" t="n">
        <f aca="false">(1+real_wage_growth/100)^G$4</f>
        <v>1.020150500625</v>
      </c>
      <c r="H31" s="23" t="n">
        <f aca="false">(1+real_wage_growth/100)^H$4</f>
        <v>1.02525125312812</v>
      </c>
      <c r="I31" s="23" t="n">
        <f aca="false">(1+real_wage_growth/100)^I$4</f>
        <v>1.03037750939377</v>
      </c>
      <c r="J31" s="23" t="n">
        <f aca="false">(1+real_wage_growth/100)^J$4</f>
        <v>1.03552939694073</v>
      </c>
      <c r="K31" s="23" t="n">
        <f aca="false">(1+real_wage_growth/100)^K$4</f>
        <v>1.04070704392544</v>
      </c>
      <c r="L31" s="23" t="n">
        <f aca="false">(1+real_wage_growth/100)^L$4</f>
        <v>1.04591057914506</v>
      </c>
      <c r="M31" s="23" t="n">
        <f aca="false">(1+real_wage_growth/100)^M$4</f>
        <v>1.05114013204079</v>
      </c>
    </row>
    <row r="33" customFormat="false" ht="15" hidden="false" customHeight="false" outlineLevel="0" collapsed="false">
      <c r="A33" s="9" t="s">
        <v>626</v>
      </c>
    </row>
    <row r="34" customFormat="false" ht="15" hidden="false" customHeight="false" outlineLevel="0" collapsed="false">
      <c r="A34" s="0" t="s">
        <v>627</v>
      </c>
      <c r="B34" s="0" t="s">
        <v>72</v>
      </c>
      <c r="C34" s="17" t="n">
        <f aca="false">Revenue!C9*C19+Revenue!C10*C27</f>
        <v>0</v>
      </c>
      <c r="D34" s="17" t="n">
        <f aca="false">Revenue!D9*D19+Revenue!D10*D27</f>
        <v>3051129.725</v>
      </c>
      <c r="E34" s="17" t="n">
        <f aca="false">Revenue!E9*E19+Revenue!E10*E27</f>
        <v>4834280.101</v>
      </c>
      <c r="F34" s="17" t="n">
        <f aca="false">Revenue!F9*F19+Revenue!F10*F27</f>
        <v>6161099</v>
      </c>
      <c r="G34" s="17" t="n">
        <f aca="false">Revenue!G9*G19+Revenue!G10*G27</f>
        <v>6250307.35</v>
      </c>
      <c r="H34" s="17" t="n">
        <f aca="false">Revenue!H9*H19+Revenue!H10*H27</f>
        <v>6547184.7</v>
      </c>
      <c r="I34" s="17" t="n">
        <f aca="false">Revenue!I9*I19+Revenue!I10*I27</f>
        <v>6606024.25</v>
      </c>
      <c r="J34" s="17" t="n">
        <f aca="false">Revenue!J9*J19+Revenue!J10*J27</f>
        <v>6674354.05</v>
      </c>
      <c r="K34" s="17" t="n">
        <f aca="false">Revenue!K9*K19+Revenue!K10*K27</f>
        <v>6752174.1</v>
      </c>
      <c r="L34" s="17" t="n">
        <f aca="false">Revenue!L9*L19+Revenue!L10*L27</f>
        <v>6752174.1</v>
      </c>
      <c r="M34" s="17" t="n">
        <f aca="false">Revenue!M9*M19+Revenue!M10*M27</f>
        <v>6752174.1</v>
      </c>
    </row>
    <row r="35" customFormat="false" ht="15" hidden="false" customHeight="false" outlineLevel="0" collapsed="false">
      <c r="A35" s="0" t="s">
        <v>519</v>
      </c>
      <c r="B35" s="0" t="s">
        <v>72</v>
      </c>
      <c r="C35" s="17" t="n">
        <f aca="false">Revenue!C9*$C$8</f>
        <v>0</v>
      </c>
      <c r="D35" s="17" t="n">
        <f aca="false">Revenue!D9*$C$8</f>
        <v>21168</v>
      </c>
      <c r="E35" s="17" t="n">
        <f aca="false">Revenue!E9*$C$8</f>
        <v>33445.44</v>
      </c>
      <c r="F35" s="17" t="n">
        <f aca="false">Revenue!F9*$C$8</f>
        <v>42336</v>
      </c>
      <c r="G35" s="17" t="n">
        <f aca="false">Revenue!G9*$C$8</f>
        <v>42336</v>
      </c>
      <c r="H35" s="17" t="n">
        <f aca="false">Revenue!H9*$C$8</f>
        <v>42336</v>
      </c>
      <c r="I35" s="17" t="n">
        <f aca="false">Revenue!I9*$C$8</f>
        <v>42336</v>
      </c>
      <c r="J35" s="17" t="n">
        <f aca="false">Revenue!J9*$C$8</f>
        <v>42336</v>
      </c>
      <c r="K35" s="17" t="n">
        <f aca="false">Revenue!K9*$C$8</f>
        <v>42336</v>
      </c>
      <c r="L35" s="17" t="n">
        <f aca="false">Revenue!L9*$C$8</f>
        <v>42336</v>
      </c>
      <c r="M35" s="17" t="n">
        <f aca="false">Revenue!M9*$C$8</f>
        <v>42336</v>
      </c>
    </row>
    <row r="36" customFormat="false" ht="15" hidden="false" customHeight="false" outlineLevel="0" collapsed="false">
      <c r="A36" s="0" t="s">
        <v>520</v>
      </c>
      <c r="B36" s="0" t="s">
        <v>72</v>
      </c>
      <c r="C36" s="17" t="n">
        <f aca="false">Revenue!C8*$C$9</f>
        <v>0</v>
      </c>
      <c r="D36" s="17" t="n">
        <f aca="false">Revenue!D8*$C$9</f>
        <v>31710</v>
      </c>
      <c r="E36" s="17" t="n">
        <f aca="false">Revenue!E8*$C$9</f>
        <v>50101.8</v>
      </c>
      <c r="F36" s="17" t="n">
        <f aca="false">Revenue!F8*$C$9</f>
        <v>63420</v>
      </c>
      <c r="G36" s="17" t="n">
        <f aca="false">Revenue!G8*$C$9</f>
        <v>63420</v>
      </c>
      <c r="H36" s="17" t="n">
        <f aca="false">Revenue!H8*$C$9</f>
        <v>63420</v>
      </c>
      <c r="I36" s="17" t="n">
        <f aca="false">Revenue!I8*$C$9</f>
        <v>63420</v>
      </c>
      <c r="J36" s="17" t="n">
        <f aca="false">Revenue!J8*$C$9</f>
        <v>63420</v>
      </c>
      <c r="K36" s="17" t="n">
        <f aca="false">Revenue!K8*$C$9</f>
        <v>63420</v>
      </c>
      <c r="L36" s="17" t="n">
        <f aca="false">Revenue!L8*$C$9</f>
        <v>63420</v>
      </c>
      <c r="M36" s="17" t="n">
        <f aca="false">Revenue!M8*$C$9</f>
        <v>63420</v>
      </c>
    </row>
    <row r="37" customFormat="false" ht="15" hidden="false" customHeight="false" outlineLevel="0" collapsed="false">
      <c r="A37" s="0" t="s">
        <v>628</v>
      </c>
      <c r="B37" s="0" t="s">
        <v>72</v>
      </c>
      <c r="C37" s="17" t="n">
        <f aca="false">Revenue!C8*$C$10</f>
        <v>0</v>
      </c>
      <c r="D37" s="17" t="n">
        <f aca="false">Revenue!D8*$C$10</f>
        <v>665000</v>
      </c>
      <c r="E37" s="17" t="n">
        <f aca="false">Revenue!E8*$C$10</f>
        <v>1050700</v>
      </c>
      <c r="F37" s="17" t="n">
        <f aca="false">Revenue!F8*$C$10</f>
        <v>1330000</v>
      </c>
      <c r="G37" s="17" t="n">
        <f aca="false">Revenue!G8*$C$10</f>
        <v>1330000</v>
      </c>
      <c r="H37" s="17" t="n">
        <f aca="false">Revenue!H8*$C$10</f>
        <v>1330000</v>
      </c>
      <c r="I37" s="17" t="n">
        <f aca="false">Revenue!I8*$C$10</f>
        <v>1330000</v>
      </c>
      <c r="J37" s="17" t="n">
        <f aca="false">Revenue!J8*$C$10</f>
        <v>1330000</v>
      </c>
      <c r="K37" s="17" t="n">
        <f aca="false">Revenue!K8*$C$10</f>
        <v>1330000</v>
      </c>
      <c r="L37" s="17" t="n">
        <f aca="false">Revenue!L8*$C$10</f>
        <v>1330000</v>
      </c>
      <c r="M37" s="17" t="n">
        <f aca="false">Revenue!M8*$C$10</f>
        <v>1330000</v>
      </c>
    </row>
    <row r="38" customFormat="false" ht="15" hidden="false" customHeight="false" outlineLevel="0" collapsed="false">
      <c r="A38" s="0" t="s">
        <v>629</v>
      </c>
      <c r="B38" s="0" t="s">
        <v>72</v>
      </c>
      <c r="C38" s="17" t="n">
        <f aca="false">Revenue!C8*opt_cost_delta_per_m3</f>
        <v>0</v>
      </c>
      <c r="D38" s="17" t="n">
        <f aca="false">Revenue!D8*opt_cost_delta_per_m3</f>
        <v>0</v>
      </c>
      <c r="E38" s="17" t="n">
        <f aca="false">Revenue!E8*opt_cost_delta_per_m3</f>
        <v>0</v>
      </c>
      <c r="F38" s="17" t="n">
        <f aca="false">Revenue!F8*opt_cost_delta_per_m3</f>
        <v>0</v>
      </c>
      <c r="G38" s="17" t="n">
        <f aca="false">Revenue!G8*opt_cost_delta_per_m3</f>
        <v>0</v>
      </c>
      <c r="H38" s="17" t="n">
        <f aca="false">Revenue!H8*opt_cost_delta_per_m3</f>
        <v>0</v>
      </c>
      <c r="I38" s="17" t="n">
        <f aca="false">Revenue!I8*opt_cost_delta_per_m3</f>
        <v>0</v>
      </c>
      <c r="J38" s="17" t="n">
        <f aca="false">Revenue!J8*opt_cost_delta_per_m3</f>
        <v>0</v>
      </c>
      <c r="K38" s="17" t="n">
        <f aca="false">Revenue!K8*opt_cost_delta_per_m3</f>
        <v>0</v>
      </c>
      <c r="L38" s="17" t="n">
        <f aca="false">Revenue!L8*opt_cost_delta_per_m3</f>
        <v>0</v>
      </c>
      <c r="M38" s="17" t="n">
        <f aca="false">Revenue!M8*opt_cost_delta_per_m3</f>
        <v>0</v>
      </c>
    </row>
    <row r="39" customFormat="false" ht="15" hidden="false" customHeight="false" outlineLevel="0" collapsed="false">
      <c r="A39" s="0" t="s">
        <v>630</v>
      </c>
      <c r="B39" s="0" t="s">
        <v>72</v>
      </c>
      <c r="C39" s="17" t="n">
        <f aca="false">Revenue!C9*IF(C$3&gt;=opt_circ_delta_start_year,1,0)*opt_circ_cost_delta_per_m3</f>
        <v>0</v>
      </c>
      <c r="D39" s="17" t="n">
        <f aca="false">Revenue!D9*IF(D$3&gt;=opt_circ_delta_start_year,1,0)*opt_circ_cost_delta_per_m3</f>
        <v>0</v>
      </c>
      <c r="E39" s="17" t="n">
        <f aca="false">Revenue!E9*IF(E$3&gt;=opt_circ_delta_start_year,1,0)*opt_circ_cost_delta_per_m3</f>
        <v>0</v>
      </c>
      <c r="F39" s="17" t="n">
        <f aca="false">Revenue!F9*IF(F$3&gt;=opt_circ_delta_start_year,1,0)*opt_circ_cost_delta_per_m3</f>
        <v>0</v>
      </c>
      <c r="G39" s="17" t="n">
        <f aca="false">Revenue!G9*IF(G$3&gt;=opt_circ_delta_start_year,1,0)*opt_circ_cost_delta_per_m3</f>
        <v>0</v>
      </c>
      <c r="H39" s="17" t="n">
        <f aca="false">Revenue!H9*IF(H$3&gt;=opt_circ_delta_start_year,1,0)*opt_circ_cost_delta_per_m3</f>
        <v>0</v>
      </c>
      <c r="I39" s="17" t="n">
        <f aca="false">Revenue!I9*IF(I$3&gt;=opt_circ_delta_start_year,1,0)*opt_circ_cost_delta_per_m3</f>
        <v>0</v>
      </c>
      <c r="J39" s="17" t="n">
        <f aca="false">Revenue!J9*IF(J$3&gt;=opt_circ_delta_start_year,1,0)*opt_circ_cost_delta_per_m3</f>
        <v>0</v>
      </c>
      <c r="K39" s="17" t="n">
        <f aca="false">Revenue!K9*IF(K$3&gt;=opt_circ_delta_start_year,1,0)*opt_circ_cost_delta_per_m3</f>
        <v>0</v>
      </c>
      <c r="L39" s="17" t="n">
        <f aca="false">Revenue!L9*IF(L$3&gt;=opt_circ_delta_start_year,1,0)*opt_circ_cost_delta_per_m3</f>
        <v>0</v>
      </c>
      <c r="M39" s="17" t="n">
        <f aca="false">Revenue!M9*IF(M$3&gt;=opt_circ_delta_start_year,1,0)*opt_circ_cost_delta_per_m3</f>
        <v>0</v>
      </c>
    </row>
    <row r="40" customFormat="false" ht="15" hidden="false" customHeight="false" outlineLevel="0" collapsed="false">
      <c r="A40" s="0" t="s">
        <v>631</v>
      </c>
      <c r="B40" s="0" t="s">
        <v>72</v>
      </c>
      <c r="C40" s="17" t="n">
        <f aca="false">-Revenue!C34*$C$7</f>
        <v>-0</v>
      </c>
      <c r="D40" s="17" t="n">
        <f aca="false">-Revenue!D34*$C$7</f>
        <v>-0</v>
      </c>
      <c r="E40" s="17" t="n">
        <f aca="false">-Revenue!E34*$C$7</f>
        <v>-0</v>
      </c>
      <c r="F40" s="17" t="n">
        <f aca="false">-Revenue!F34*$C$7</f>
        <v>-0</v>
      </c>
      <c r="G40" s="17" t="n">
        <f aca="false">-Revenue!G34*$C$7</f>
        <v>-0</v>
      </c>
      <c r="H40" s="17" t="n">
        <f aca="false">-Revenue!H34*$C$7</f>
        <v>-0</v>
      </c>
      <c r="I40" s="17" t="n">
        <f aca="false">-Revenue!I34*$C$7</f>
        <v>-0</v>
      </c>
      <c r="J40" s="17" t="n">
        <f aca="false">-Revenue!J34*$C$7</f>
        <v>-0</v>
      </c>
      <c r="K40" s="17" t="n">
        <f aca="false">-Revenue!K34*$C$7</f>
        <v>-0</v>
      </c>
      <c r="L40" s="17" t="n">
        <f aca="false">-Revenue!L34*$C$7</f>
        <v>-0</v>
      </c>
      <c r="M40" s="17" t="n">
        <f aca="false">-Revenue!M34*$C$7</f>
        <v>-0</v>
      </c>
    </row>
    <row r="41" customFormat="false" ht="15" hidden="false" customHeight="false" outlineLevel="0" collapsed="false">
      <c r="A41" s="0" t="s">
        <v>632</v>
      </c>
      <c r="B41" s="0" t="s">
        <v>72</v>
      </c>
      <c r="C41" s="17" t="n">
        <f aca="false">Revenue!C31*hybrid_yield_contaminants/100*hybrid_cost_contaminant_disposal</f>
        <v>0</v>
      </c>
      <c r="D41" s="17" t="n">
        <f aca="false">Revenue!D31*hybrid_yield_contaminants/100*hybrid_cost_contaminant_disposal</f>
        <v>0</v>
      </c>
      <c r="E41" s="17" t="n">
        <f aca="false">Revenue!E31*hybrid_yield_contaminants/100*hybrid_cost_contaminant_disposal</f>
        <v>0</v>
      </c>
      <c r="F41" s="17" t="n">
        <f aca="false">Revenue!F31*hybrid_yield_contaminants/100*hybrid_cost_contaminant_disposal</f>
        <v>0</v>
      </c>
      <c r="G41" s="17" t="n">
        <f aca="false">Revenue!G31*hybrid_yield_contaminants/100*hybrid_cost_contaminant_disposal</f>
        <v>0</v>
      </c>
      <c r="H41" s="17" t="n">
        <f aca="false">Revenue!H31*hybrid_yield_contaminants/100*hybrid_cost_contaminant_disposal</f>
        <v>0</v>
      </c>
      <c r="I41" s="17" t="n">
        <f aca="false">Revenue!I31*hybrid_yield_contaminants/100*hybrid_cost_contaminant_disposal</f>
        <v>0</v>
      </c>
      <c r="J41" s="17" t="n">
        <f aca="false">Revenue!J31*hybrid_yield_contaminants/100*hybrid_cost_contaminant_disposal</f>
        <v>0</v>
      </c>
      <c r="K41" s="17" t="n">
        <f aca="false">Revenue!K31*hybrid_yield_contaminants/100*hybrid_cost_contaminant_disposal</f>
        <v>0</v>
      </c>
      <c r="L41" s="17" t="n">
        <f aca="false">Revenue!L31*hybrid_yield_contaminants/100*hybrid_cost_contaminant_disposal</f>
        <v>0</v>
      </c>
      <c r="M41" s="17" t="n">
        <f aca="false">Revenue!M31*hybrid_yield_contaminants/100*hybrid_cost_contaminant_disposal</f>
        <v>0</v>
      </c>
    </row>
    <row r="42" customFormat="false" ht="15" hidden="false" customHeight="false" outlineLevel="0" collapsed="false">
      <c r="A42" s="0" t="s">
        <v>633</v>
      </c>
      <c r="B42" s="0" t="s">
        <v>72</v>
      </c>
      <c r="C42" s="17" t="n">
        <f aca="false">Revenue!C31*hybrid_crusher_diesel*price_diesel</f>
        <v>0</v>
      </c>
      <c r="D42" s="17" t="n">
        <f aca="false">Revenue!D31*hybrid_crusher_diesel*price_diesel</f>
        <v>0</v>
      </c>
      <c r="E42" s="17" t="n">
        <f aca="false">Revenue!E31*hybrid_crusher_diesel*price_diesel</f>
        <v>0</v>
      </c>
      <c r="F42" s="17" t="n">
        <f aca="false">Revenue!F31*hybrid_crusher_diesel*price_diesel</f>
        <v>0</v>
      </c>
      <c r="G42" s="17" t="n">
        <f aca="false">Revenue!G31*hybrid_crusher_diesel*price_diesel</f>
        <v>0</v>
      </c>
      <c r="H42" s="17" t="n">
        <f aca="false">Revenue!H31*hybrid_crusher_diesel*price_diesel</f>
        <v>0</v>
      </c>
      <c r="I42" s="17" t="n">
        <f aca="false">Revenue!I31*hybrid_crusher_diesel*price_diesel</f>
        <v>0</v>
      </c>
      <c r="J42" s="17" t="n">
        <f aca="false">Revenue!J31*hybrid_crusher_diesel*price_diesel</f>
        <v>0</v>
      </c>
      <c r="K42" s="17" t="n">
        <f aca="false">Revenue!K31*hybrid_crusher_diesel*price_diesel</f>
        <v>0</v>
      </c>
      <c r="L42" s="17" t="n">
        <f aca="false">Revenue!L31*hybrid_crusher_diesel*price_diesel</f>
        <v>0</v>
      </c>
      <c r="M42" s="17" t="n">
        <f aca="false">Revenue!M31*hybrid_crusher_diesel*price_diesel</f>
        <v>0</v>
      </c>
    </row>
    <row r="43" customFormat="false" ht="15" hidden="false" customHeight="false" outlineLevel="0" collapsed="false">
      <c r="A43" s="0" t="s">
        <v>634</v>
      </c>
      <c r="B43" s="0" t="s">
        <v>72</v>
      </c>
      <c r="C43" s="17" t="n">
        <f aca="false">Revenue!C31*hybrid_crusher_wear</f>
        <v>0</v>
      </c>
      <c r="D43" s="17" t="n">
        <f aca="false">Revenue!D31*hybrid_crusher_wear</f>
        <v>0</v>
      </c>
      <c r="E43" s="17" t="n">
        <f aca="false">Revenue!E31*hybrid_crusher_wear</f>
        <v>0</v>
      </c>
      <c r="F43" s="17" t="n">
        <f aca="false">Revenue!F31*hybrid_crusher_wear</f>
        <v>0</v>
      </c>
      <c r="G43" s="17" t="n">
        <f aca="false">Revenue!G31*hybrid_crusher_wear</f>
        <v>0</v>
      </c>
      <c r="H43" s="17" t="n">
        <f aca="false">Revenue!H31*hybrid_crusher_wear</f>
        <v>0</v>
      </c>
      <c r="I43" s="17" t="n">
        <f aca="false">Revenue!I31*hybrid_crusher_wear</f>
        <v>0</v>
      </c>
      <c r="J43" s="17" t="n">
        <f aca="false">Revenue!J31*hybrid_crusher_wear</f>
        <v>0</v>
      </c>
      <c r="K43" s="17" t="n">
        <f aca="false">Revenue!K31*hybrid_crusher_wear</f>
        <v>0</v>
      </c>
      <c r="L43" s="17" t="n">
        <f aca="false">Revenue!L31*hybrid_crusher_wear</f>
        <v>0</v>
      </c>
      <c r="M43" s="17" t="n">
        <f aca="false">Revenue!M31*hybrid_crusher_wear</f>
        <v>0</v>
      </c>
    </row>
    <row r="44" customFormat="false" ht="15" hidden="false" customHeight="false" outlineLevel="0" collapsed="false">
      <c r="A44" s="0" t="s">
        <v>635</v>
      </c>
      <c r="B44" s="0" t="s">
        <v>72</v>
      </c>
      <c r="C44" s="17" t="n">
        <f aca="false">Revenue!C31*opt_crusher_contract_rate</f>
        <v>0</v>
      </c>
      <c r="D44" s="17" t="n">
        <f aca="false">Revenue!D31*opt_crusher_contract_rate</f>
        <v>0</v>
      </c>
      <c r="E44" s="17" t="n">
        <f aca="false">Revenue!E31*opt_crusher_contract_rate</f>
        <v>0</v>
      </c>
      <c r="F44" s="17" t="n">
        <f aca="false">Revenue!F31*opt_crusher_contract_rate</f>
        <v>0</v>
      </c>
      <c r="G44" s="17" t="n">
        <f aca="false">Revenue!G31*opt_crusher_contract_rate</f>
        <v>0</v>
      </c>
      <c r="H44" s="17" t="n">
        <f aca="false">Revenue!H31*opt_crusher_contract_rate</f>
        <v>0</v>
      </c>
      <c r="I44" s="17" t="n">
        <f aca="false">Revenue!I31*opt_crusher_contract_rate</f>
        <v>0</v>
      </c>
      <c r="J44" s="17" t="n">
        <f aca="false">Revenue!J31*opt_crusher_contract_rate</f>
        <v>0</v>
      </c>
      <c r="K44" s="17" t="n">
        <f aca="false">Revenue!K31*opt_crusher_contract_rate</f>
        <v>0</v>
      </c>
      <c r="L44" s="17" t="n">
        <f aca="false">Revenue!L31*opt_crusher_contract_rate</f>
        <v>0</v>
      </c>
      <c r="M44" s="17" t="n">
        <f aca="false">Revenue!M31*opt_crusher_contract_rate</f>
        <v>0</v>
      </c>
    </row>
    <row r="45" customFormat="false" ht="15" hidden="false" customHeight="false" outlineLevel="0" collapsed="false">
      <c r="A45" s="0" t="s">
        <v>532</v>
      </c>
      <c r="B45" s="0" t="s">
        <v>72</v>
      </c>
      <c r="C45" s="17" t="n">
        <f aca="false">Revenue!C42*bad_debt_pct_revenue/100</f>
        <v>0</v>
      </c>
      <c r="D45" s="17" t="n">
        <f aca="false">Revenue!D42*bad_debt_pct_revenue/100</f>
        <v>23813.677804</v>
      </c>
      <c r="E45" s="17" t="n">
        <f aca="false">Revenue!E42*bad_debt_pct_revenue/100</f>
        <v>37678.446204896</v>
      </c>
      <c r="F45" s="17" t="n">
        <f aca="false">Revenue!F42*bad_debt_pct_revenue/100</f>
        <v>47857.7203776</v>
      </c>
      <c r="G45" s="17" t="n">
        <f aca="false">Revenue!G42*bad_debt_pct_revenue/100</f>
        <v>48206.9830928</v>
      </c>
      <c r="H45" s="17" t="n">
        <f aca="false">Revenue!H42*bad_debt_pct_revenue/100</f>
        <v>49369.297936</v>
      </c>
      <c r="I45" s="17" t="n">
        <f aca="false">Revenue!I42*bad_debt_pct_revenue/100</f>
        <v>49599.6627056</v>
      </c>
      <c r="J45" s="17" t="n">
        <f aca="false">Revenue!J42*bad_debt_pct_revenue/100</f>
        <v>49867.1830832</v>
      </c>
      <c r="K45" s="17" t="n">
        <f aca="false">Revenue!K42*bad_debt_pct_revenue/100</f>
        <v>50171.8590688</v>
      </c>
      <c r="L45" s="17" t="n">
        <f aca="false">Revenue!L42*bad_debt_pct_revenue/100</f>
        <v>50171.8590688</v>
      </c>
      <c r="M45" s="17" t="n">
        <f aca="false">Revenue!M42*bad_debt_pct_revenue/100</f>
        <v>50171.8590688</v>
      </c>
    </row>
    <row r="46" customFormat="false" ht="15" hidden="false" customHeight="false" outlineLevel="0" collapsed="false">
      <c r="A46" s="2" t="s">
        <v>636</v>
      </c>
      <c r="B46" s="8" t="s">
        <v>72</v>
      </c>
      <c r="C46" s="19" t="n">
        <f aca="false">C34+C35+C36+C37+C38+C39+C40+C41+C42+C43+C44+C45</f>
        <v>0</v>
      </c>
      <c r="D46" s="19" t="n">
        <f aca="false">D34+D35+D36+D37+D38+D39+D40+D41+D42+D43+D44+D45</f>
        <v>3792821.402804</v>
      </c>
      <c r="E46" s="19" t="n">
        <f aca="false">E34+E35+E36+E37+E38+E39+E40+E41+E42+E43+E44+E45</f>
        <v>6006205.7872049</v>
      </c>
      <c r="F46" s="19" t="n">
        <f aca="false">F34+F35+F36+F37+F38+F39+F40+F41+F42+F43+F44+F45</f>
        <v>7644712.7203776</v>
      </c>
      <c r="G46" s="19" t="n">
        <f aca="false">G34+G35+G36+G37+G38+G39+G40+G41+G42+G43+G44+G45</f>
        <v>7734270.3330928</v>
      </c>
      <c r="H46" s="19" t="n">
        <f aca="false">H34+H35+H36+H37+H38+H39+H40+H41+H42+H43+H44+H45</f>
        <v>8032309.997936</v>
      </c>
      <c r="I46" s="19" t="n">
        <f aca="false">I34+I35+I36+I37+I38+I39+I40+I41+I42+I43+I44+I45</f>
        <v>8091379.9127056</v>
      </c>
      <c r="J46" s="19" t="n">
        <f aca="false">J34+J35+J36+J37+J38+J39+J40+J41+J42+J43+J44+J45</f>
        <v>8159977.2330832</v>
      </c>
      <c r="K46" s="19" t="n">
        <f aca="false">K34+K35+K36+K37+K38+K39+K40+K41+K42+K43+K44+K45</f>
        <v>8238101.9590688</v>
      </c>
      <c r="L46" s="19" t="n">
        <f aca="false">L34+L35+L36+L37+L38+L39+L40+L41+L42+L43+L44+L45</f>
        <v>8238101.9590688</v>
      </c>
      <c r="M46" s="19" t="n">
        <f aca="false">M34+M35+M36+M37+M38+M39+M40+M41+M42+M43+M44+M45</f>
        <v>8238101.9590688</v>
      </c>
    </row>
    <row r="47" customFormat="false" ht="15" hidden="false" customHeight="false" outlineLevel="0" collapsed="false">
      <c r="A47" s="9" t="s">
        <v>637</v>
      </c>
    </row>
    <row r="48" customFormat="false" ht="15" hidden="false" customHeight="false" outlineLevel="0" collapsed="false">
      <c r="A48" s="0" t="s">
        <v>638</v>
      </c>
      <c r="B48" s="0" t="s">
        <v>72</v>
      </c>
      <c r="C48" s="17" t="n">
        <f aca="false">C30*staff_production_fte*cost_per_fte_production*C31</f>
        <v>0</v>
      </c>
      <c r="D48" s="17" t="n">
        <f aca="false">D30*staff_production_fte*cost_per_fte_production*D31</f>
        <v>492450</v>
      </c>
      <c r="E48" s="17" t="n">
        <f aca="false">E30*staff_production_fte*cost_per_fte_production*E31</f>
        <v>494912.25</v>
      </c>
      <c r="F48" s="17" t="n">
        <f aca="false">F30*staff_production_fte*cost_per_fte_production*F31</f>
        <v>497386.81125</v>
      </c>
      <c r="G48" s="17" t="n">
        <f aca="false">G30*staff_production_fte*cost_per_fte_production*G31</f>
        <v>499873.74530625</v>
      </c>
      <c r="H48" s="17" t="n">
        <f aca="false">H30*staff_production_fte*cost_per_fte_production*H31</f>
        <v>502373.114032781</v>
      </c>
      <c r="I48" s="17" t="n">
        <f aca="false">I30*staff_production_fte*cost_per_fte_production*I31</f>
        <v>504884.979602945</v>
      </c>
      <c r="J48" s="17" t="n">
        <f aca="false">J30*staff_production_fte*cost_per_fte_production*J31</f>
        <v>507409.40450096</v>
      </c>
      <c r="K48" s="17" t="n">
        <f aca="false">K30*staff_production_fte*cost_per_fte_production*K31</f>
        <v>509946.451523464</v>
      </c>
      <c r="L48" s="17" t="n">
        <f aca="false">L30*staff_production_fte*cost_per_fte_production*L31</f>
        <v>512496.183781081</v>
      </c>
      <c r="M48" s="17" t="n">
        <f aca="false">M30*staff_production_fte*cost_per_fte_production*M31</f>
        <v>515058.664699987</v>
      </c>
    </row>
    <row r="49" customFormat="false" ht="15" hidden="false" customHeight="false" outlineLevel="0" collapsed="false">
      <c r="A49" s="0" t="s">
        <v>525</v>
      </c>
      <c r="B49" s="0" t="s">
        <v>72</v>
      </c>
      <c r="C49" s="17" t="n">
        <f aca="false">C30*maintenance_pct_of_capex/100*Capex!$C$15</f>
        <v>0</v>
      </c>
      <c r="D49" s="17" t="n">
        <f aca="false">D30*maintenance_pct_of_capex/100*Capex!$C$15</f>
        <v>125000</v>
      </c>
      <c r="E49" s="17" t="n">
        <f aca="false">E30*maintenance_pct_of_capex/100*Capex!$C$15</f>
        <v>125000</v>
      </c>
      <c r="F49" s="17" t="n">
        <f aca="false">F30*maintenance_pct_of_capex/100*Capex!$C$15</f>
        <v>125000</v>
      </c>
      <c r="G49" s="17" t="n">
        <f aca="false">G30*maintenance_pct_of_capex/100*Capex!$C$15</f>
        <v>125000</v>
      </c>
      <c r="H49" s="17" t="n">
        <f aca="false">H30*maintenance_pct_of_capex/100*Capex!$C$15</f>
        <v>125000</v>
      </c>
      <c r="I49" s="17" t="n">
        <f aca="false">I30*maintenance_pct_of_capex/100*Capex!$C$15</f>
        <v>125000</v>
      </c>
      <c r="J49" s="17" t="n">
        <f aca="false">J30*maintenance_pct_of_capex/100*Capex!$C$15</f>
        <v>125000</v>
      </c>
      <c r="K49" s="17" t="n">
        <f aca="false">K30*maintenance_pct_of_capex/100*Capex!$C$15</f>
        <v>125000</v>
      </c>
      <c r="L49" s="17" t="n">
        <f aca="false">L30*maintenance_pct_of_capex/100*Capex!$C$15</f>
        <v>125000</v>
      </c>
      <c r="M49" s="17" t="n">
        <f aca="false">M30*maintenance_pct_of_capex/100*Capex!$C$15</f>
        <v>125000</v>
      </c>
    </row>
    <row r="50" customFormat="false" ht="15" hidden="false" customHeight="false" outlineLevel="0" collapsed="false">
      <c r="A50" s="0" t="s">
        <v>639</v>
      </c>
      <c r="B50" s="0" t="s">
        <v>72</v>
      </c>
      <c r="C50" s="17" t="n">
        <f aca="false">C30*certification_testing_fixed</f>
        <v>0</v>
      </c>
      <c r="D50" s="17" t="n">
        <f aca="false">D30*certification_testing_fixed</f>
        <v>50000</v>
      </c>
      <c r="E50" s="17" t="n">
        <f aca="false">E30*certification_testing_fixed</f>
        <v>50000</v>
      </c>
      <c r="F50" s="17" t="n">
        <f aca="false">F30*certification_testing_fixed</f>
        <v>50000</v>
      </c>
      <c r="G50" s="17" t="n">
        <f aca="false">G30*certification_testing_fixed</f>
        <v>50000</v>
      </c>
      <c r="H50" s="17" t="n">
        <f aca="false">H30*certification_testing_fixed</f>
        <v>50000</v>
      </c>
      <c r="I50" s="17" t="n">
        <f aca="false">I30*certification_testing_fixed</f>
        <v>50000</v>
      </c>
      <c r="J50" s="17" t="n">
        <f aca="false">J30*certification_testing_fixed</f>
        <v>50000</v>
      </c>
      <c r="K50" s="17" t="n">
        <f aca="false">K30*certification_testing_fixed</f>
        <v>50000</v>
      </c>
      <c r="L50" s="17" t="n">
        <f aca="false">L30*certification_testing_fixed</f>
        <v>50000</v>
      </c>
      <c r="M50" s="17" t="n">
        <f aca="false">M30*certification_testing_fixed</f>
        <v>50000</v>
      </c>
    </row>
    <row r="51" customFormat="false" ht="15" hidden="false" customHeight="false" outlineLevel="0" collapsed="false">
      <c r="A51" s="0" t="s">
        <v>527</v>
      </c>
      <c r="B51" s="0" t="s">
        <v>72</v>
      </c>
      <c r="C51" s="17" t="n">
        <f aca="false">C30*site_area*site_lease_rate</f>
        <v>0</v>
      </c>
      <c r="D51" s="17" t="n">
        <f aca="false">D30*site_area*site_lease_rate</f>
        <v>150000</v>
      </c>
      <c r="E51" s="17" t="n">
        <f aca="false">E30*site_area*site_lease_rate</f>
        <v>150000</v>
      </c>
      <c r="F51" s="17" t="n">
        <f aca="false">F30*site_area*site_lease_rate</f>
        <v>150000</v>
      </c>
      <c r="G51" s="17" t="n">
        <f aca="false">G30*site_area*site_lease_rate</f>
        <v>150000</v>
      </c>
      <c r="H51" s="17" t="n">
        <f aca="false">H30*site_area*site_lease_rate</f>
        <v>150000</v>
      </c>
      <c r="I51" s="17" t="n">
        <f aca="false">I30*site_area*site_lease_rate</f>
        <v>150000</v>
      </c>
      <c r="J51" s="17" t="n">
        <f aca="false">J30*site_area*site_lease_rate</f>
        <v>150000</v>
      </c>
      <c r="K51" s="17" t="n">
        <f aca="false">K30*site_area*site_lease_rate</f>
        <v>150000</v>
      </c>
      <c r="L51" s="17" t="n">
        <f aca="false">L30*site_area*site_lease_rate</f>
        <v>150000</v>
      </c>
      <c r="M51" s="17" t="n">
        <f aca="false">M30*site_area*site_lease_rate</f>
        <v>150000</v>
      </c>
    </row>
    <row r="52" customFormat="false" ht="15" hidden="false" customHeight="false" outlineLevel="0" collapsed="false">
      <c r="A52" s="0" t="s">
        <v>528</v>
      </c>
      <c r="B52" s="0" t="s">
        <v>72</v>
      </c>
      <c r="C52" s="17" t="n">
        <f aca="false">C30*staff_sga_fte*cost_per_fte_sga*C31</f>
        <v>0</v>
      </c>
      <c r="D52" s="17" t="n">
        <f aca="false">D30*staff_sga_fte*cost_per_fte_sga*D31</f>
        <v>271350</v>
      </c>
      <c r="E52" s="17" t="n">
        <f aca="false">E30*staff_sga_fte*cost_per_fte_sga*E31</f>
        <v>272706.75</v>
      </c>
      <c r="F52" s="17" t="n">
        <f aca="false">F30*staff_sga_fte*cost_per_fte_sga*F31</f>
        <v>274070.28375</v>
      </c>
      <c r="G52" s="17" t="n">
        <f aca="false">G30*staff_sga_fte*cost_per_fte_sga*G31</f>
        <v>275440.63516875</v>
      </c>
      <c r="H52" s="17" t="n">
        <f aca="false">H30*staff_sga_fte*cost_per_fte_sga*H31</f>
        <v>276817.838344594</v>
      </c>
      <c r="I52" s="17" t="n">
        <f aca="false">I30*staff_sga_fte*cost_per_fte_sga*I31</f>
        <v>278201.927536317</v>
      </c>
      <c r="J52" s="17" t="n">
        <f aca="false">J30*staff_sga_fte*cost_per_fte_sga*J31</f>
        <v>279592.937173998</v>
      </c>
      <c r="K52" s="17" t="n">
        <f aca="false">K30*staff_sga_fte*cost_per_fte_sga*K31</f>
        <v>280990.901859868</v>
      </c>
      <c r="L52" s="17" t="n">
        <f aca="false">L30*staff_sga_fte*cost_per_fte_sga*L31</f>
        <v>282395.856369167</v>
      </c>
      <c r="M52" s="17" t="n">
        <f aca="false">M30*staff_sga_fte*cost_per_fte_sga*M31</f>
        <v>283807.835651013</v>
      </c>
    </row>
    <row r="53" customFormat="false" ht="15" hidden="false" customHeight="false" outlineLevel="0" collapsed="false">
      <c r="A53" s="0" t="s">
        <v>529</v>
      </c>
      <c r="B53" s="0" t="s">
        <v>72</v>
      </c>
      <c r="C53" s="17" t="n">
        <f aca="false">C30*sga_fixed_non_staff</f>
        <v>0</v>
      </c>
      <c r="D53" s="17" t="n">
        <f aca="false">D30*sga_fixed_non_staff</f>
        <v>300000</v>
      </c>
      <c r="E53" s="17" t="n">
        <f aca="false">E30*sga_fixed_non_staff</f>
        <v>300000</v>
      </c>
      <c r="F53" s="17" t="n">
        <f aca="false">F30*sga_fixed_non_staff</f>
        <v>300000</v>
      </c>
      <c r="G53" s="17" t="n">
        <f aca="false">G30*sga_fixed_non_staff</f>
        <v>300000</v>
      </c>
      <c r="H53" s="17" t="n">
        <f aca="false">H30*sga_fixed_non_staff</f>
        <v>300000</v>
      </c>
      <c r="I53" s="17" t="n">
        <f aca="false">I30*sga_fixed_non_staff</f>
        <v>300000</v>
      </c>
      <c r="J53" s="17" t="n">
        <f aca="false">J30*sga_fixed_non_staff</f>
        <v>300000</v>
      </c>
      <c r="K53" s="17" t="n">
        <f aca="false">K30*sga_fixed_non_staff</f>
        <v>300000</v>
      </c>
      <c r="L53" s="17" t="n">
        <f aca="false">L30*sga_fixed_non_staff</f>
        <v>300000</v>
      </c>
      <c r="M53" s="17" t="n">
        <f aca="false">M30*sga_fixed_non_staff</f>
        <v>300000</v>
      </c>
    </row>
    <row r="54" customFormat="false" ht="15" hidden="false" customHeight="false" outlineLevel="0" collapsed="false">
      <c r="A54" s="0" t="s">
        <v>640</v>
      </c>
      <c r="B54" s="0" t="s">
        <v>72</v>
      </c>
      <c r="C54" s="17" t="n">
        <f aca="false">C30*opt_extra_opex_per_yr</f>
        <v>0</v>
      </c>
      <c r="D54" s="17" t="n">
        <f aca="false">D30*opt_extra_opex_per_yr</f>
        <v>0</v>
      </c>
      <c r="E54" s="17" t="n">
        <f aca="false">E30*opt_extra_opex_per_yr</f>
        <v>0</v>
      </c>
      <c r="F54" s="17" t="n">
        <f aca="false">F30*opt_extra_opex_per_yr</f>
        <v>0</v>
      </c>
      <c r="G54" s="17" t="n">
        <f aca="false">G30*opt_extra_opex_per_yr</f>
        <v>0</v>
      </c>
      <c r="H54" s="17" t="n">
        <f aca="false">H30*opt_extra_opex_per_yr</f>
        <v>0</v>
      </c>
      <c r="I54" s="17" t="n">
        <f aca="false">I30*opt_extra_opex_per_yr</f>
        <v>0</v>
      </c>
      <c r="J54" s="17" t="n">
        <f aca="false">J30*opt_extra_opex_per_yr</f>
        <v>0</v>
      </c>
      <c r="K54" s="17" t="n">
        <f aca="false">K30*opt_extra_opex_per_yr</f>
        <v>0</v>
      </c>
      <c r="L54" s="17" t="n">
        <f aca="false">L30*opt_extra_opex_per_yr</f>
        <v>0</v>
      </c>
      <c r="M54" s="17" t="n">
        <f aca="false">M30*opt_extra_opex_per_yr</f>
        <v>0</v>
      </c>
    </row>
    <row r="55" customFormat="false" ht="15" hidden="false" customHeight="false" outlineLevel="0" collapsed="false">
      <c r="A55" s="0" t="s">
        <v>641</v>
      </c>
      <c r="B55" s="0" t="s">
        <v>72</v>
      </c>
      <c r="C55" s="17" t="n">
        <f aca="false">Revenue!C30*hybrid_crusher_staff_fte*cost_per_fte_production*C31</f>
        <v>0</v>
      </c>
      <c r="D55" s="17" t="n">
        <f aca="false">Revenue!D30*hybrid_crusher_staff_fte*cost_per_fte_production*D31</f>
        <v>0</v>
      </c>
      <c r="E55" s="17" t="n">
        <f aca="false">Revenue!E30*hybrid_crusher_staff_fte*cost_per_fte_production*E31</f>
        <v>0</v>
      </c>
      <c r="F55" s="17" t="n">
        <f aca="false">Revenue!F30*hybrid_crusher_staff_fte*cost_per_fte_production*F31</f>
        <v>0</v>
      </c>
      <c r="G55" s="17" t="n">
        <f aca="false">Revenue!G30*hybrid_crusher_staff_fte*cost_per_fte_production*G31</f>
        <v>0</v>
      </c>
      <c r="H55" s="17" t="n">
        <f aca="false">Revenue!H30*hybrid_crusher_staff_fte*cost_per_fte_production*H31</f>
        <v>0</v>
      </c>
      <c r="I55" s="17" t="n">
        <f aca="false">Revenue!I30*hybrid_crusher_staff_fte*cost_per_fte_production*I31</f>
        <v>0</v>
      </c>
      <c r="J55" s="17" t="n">
        <f aca="false">Revenue!J30*hybrid_crusher_staff_fte*cost_per_fte_production*J31</f>
        <v>0</v>
      </c>
      <c r="K55" s="17" t="n">
        <f aca="false">Revenue!K30*hybrid_crusher_staff_fte*cost_per_fte_production*K31</f>
        <v>0</v>
      </c>
      <c r="L55" s="17" t="n">
        <f aca="false">Revenue!L30*hybrid_crusher_staff_fte*cost_per_fte_production*L31</f>
        <v>0</v>
      </c>
      <c r="M55" s="17" t="n">
        <f aca="false">Revenue!M30*hybrid_crusher_staff_fte*cost_per_fte_production*M31</f>
        <v>0</v>
      </c>
    </row>
    <row r="56" customFormat="false" ht="15" hidden="false" customHeight="false" outlineLevel="0" collapsed="false">
      <c r="A56" s="0" t="s">
        <v>642</v>
      </c>
      <c r="B56" s="0" t="s">
        <v>72</v>
      </c>
      <c r="C56" s="17" t="n">
        <f aca="false">Revenue!C30*hybrid_crusher_maintenance_pct_capex/100*opt_crusher_capex</f>
        <v>0</v>
      </c>
      <c r="D56" s="17" t="n">
        <f aca="false">Revenue!D30*hybrid_crusher_maintenance_pct_capex/100*opt_crusher_capex</f>
        <v>0</v>
      </c>
      <c r="E56" s="17" t="n">
        <f aca="false">Revenue!E30*hybrid_crusher_maintenance_pct_capex/100*opt_crusher_capex</f>
        <v>0</v>
      </c>
      <c r="F56" s="17" t="n">
        <f aca="false">Revenue!F30*hybrid_crusher_maintenance_pct_capex/100*opt_crusher_capex</f>
        <v>0</v>
      </c>
      <c r="G56" s="17" t="n">
        <f aca="false">Revenue!G30*hybrid_crusher_maintenance_pct_capex/100*opt_crusher_capex</f>
        <v>0</v>
      </c>
      <c r="H56" s="17" t="n">
        <f aca="false">Revenue!H30*hybrid_crusher_maintenance_pct_capex/100*opt_crusher_capex</f>
        <v>0</v>
      </c>
      <c r="I56" s="17" t="n">
        <f aca="false">Revenue!I30*hybrid_crusher_maintenance_pct_capex/100*opt_crusher_capex</f>
        <v>0</v>
      </c>
      <c r="J56" s="17" t="n">
        <f aca="false">Revenue!J30*hybrid_crusher_maintenance_pct_capex/100*opt_crusher_capex</f>
        <v>0</v>
      </c>
      <c r="K56" s="17" t="n">
        <f aca="false">Revenue!K30*hybrid_crusher_maintenance_pct_capex/100*opt_crusher_capex</f>
        <v>0</v>
      </c>
      <c r="L56" s="17" t="n">
        <f aca="false">Revenue!L30*hybrid_crusher_maintenance_pct_capex/100*opt_crusher_capex</f>
        <v>0</v>
      </c>
      <c r="M56" s="17" t="n">
        <f aca="false">Revenue!M30*hybrid_crusher_maintenance_pct_capex/100*opt_crusher_capex</f>
        <v>0</v>
      </c>
    </row>
    <row r="57" customFormat="false" ht="15" hidden="false" customHeight="false" outlineLevel="0" collapsed="false">
      <c r="A57" s="0" t="s">
        <v>643</v>
      </c>
      <c r="B57" s="0" t="s">
        <v>72</v>
      </c>
      <c r="C57" s="17" t="n">
        <f aca="false">Revenue!C30*hybrid_brl2506_certification</f>
        <v>0</v>
      </c>
      <c r="D57" s="17" t="n">
        <f aca="false">Revenue!D30*hybrid_brl2506_certification</f>
        <v>0</v>
      </c>
      <c r="E57" s="17" t="n">
        <f aca="false">Revenue!E30*hybrid_brl2506_certification</f>
        <v>0</v>
      </c>
      <c r="F57" s="17" t="n">
        <f aca="false">Revenue!F30*hybrid_brl2506_certification</f>
        <v>0</v>
      </c>
      <c r="G57" s="17" t="n">
        <f aca="false">Revenue!G30*hybrid_brl2506_certification</f>
        <v>0</v>
      </c>
      <c r="H57" s="17" t="n">
        <f aca="false">Revenue!H30*hybrid_brl2506_certification</f>
        <v>0</v>
      </c>
      <c r="I57" s="17" t="n">
        <f aca="false">Revenue!I30*hybrid_brl2506_certification</f>
        <v>0</v>
      </c>
      <c r="J57" s="17" t="n">
        <f aca="false">Revenue!J30*hybrid_brl2506_certification</f>
        <v>0</v>
      </c>
      <c r="K57" s="17" t="n">
        <f aca="false">Revenue!K30*hybrid_brl2506_certification</f>
        <v>0</v>
      </c>
      <c r="L57" s="17" t="n">
        <f aca="false">Revenue!L30*hybrid_brl2506_certification</f>
        <v>0</v>
      </c>
      <c r="M57" s="17" t="n">
        <f aca="false">Revenue!M30*hybrid_brl2506_certification</f>
        <v>0</v>
      </c>
    </row>
    <row r="58" customFormat="false" ht="15" hidden="false" customHeight="false" outlineLevel="0" collapsed="false">
      <c r="A58" s="0" t="s">
        <v>644</v>
      </c>
      <c r="B58" s="0" t="s">
        <v>72</v>
      </c>
      <c r="C58" s="17" t="n">
        <f aca="false">Revenue!C30*hybrid_extra_site_area*site_lease_rate</f>
        <v>0</v>
      </c>
      <c r="D58" s="17" t="n">
        <f aca="false">Revenue!D30*hybrid_extra_site_area*site_lease_rate</f>
        <v>0</v>
      </c>
      <c r="E58" s="17" t="n">
        <f aca="false">Revenue!E30*hybrid_extra_site_area*site_lease_rate</f>
        <v>0</v>
      </c>
      <c r="F58" s="17" t="n">
        <f aca="false">Revenue!F30*hybrid_extra_site_area*site_lease_rate</f>
        <v>0</v>
      </c>
      <c r="G58" s="17" t="n">
        <f aca="false">Revenue!G30*hybrid_extra_site_area*site_lease_rate</f>
        <v>0</v>
      </c>
      <c r="H58" s="17" t="n">
        <f aca="false">Revenue!H30*hybrid_extra_site_area*site_lease_rate</f>
        <v>0</v>
      </c>
      <c r="I58" s="17" t="n">
        <f aca="false">Revenue!I30*hybrid_extra_site_area*site_lease_rate</f>
        <v>0</v>
      </c>
      <c r="J58" s="17" t="n">
        <f aca="false">Revenue!J30*hybrid_extra_site_area*site_lease_rate</f>
        <v>0</v>
      </c>
      <c r="K58" s="17" t="n">
        <f aca="false">Revenue!K30*hybrid_extra_site_area*site_lease_rate</f>
        <v>0</v>
      </c>
      <c r="L58" s="17" t="n">
        <f aca="false">Revenue!L30*hybrid_extra_site_area*site_lease_rate</f>
        <v>0</v>
      </c>
      <c r="M58" s="17" t="n">
        <f aca="false">Revenue!M30*hybrid_extra_site_area*site_lease_rate</f>
        <v>0</v>
      </c>
    </row>
    <row r="59" customFormat="false" ht="15" hidden="false" customHeight="false" outlineLevel="0" collapsed="false">
      <c r="A59" s="2" t="s">
        <v>645</v>
      </c>
      <c r="B59" s="8" t="s">
        <v>72</v>
      </c>
      <c r="C59" s="19" t="n">
        <f aca="false">C48+C49+C50+C51+C52+C53+C54+C55+C56+C57+C58</f>
        <v>0</v>
      </c>
      <c r="D59" s="19" t="n">
        <f aca="false">D48+D49+D50+D51+D52+D53+D54+D55+D56+D57+D58</f>
        <v>1388800</v>
      </c>
      <c r="E59" s="19" t="n">
        <f aca="false">E48+E49+E50+E51+E52+E53+E54+E55+E56+E57+E58</f>
        <v>1392619</v>
      </c>
      <c r="F59" s="19" t="n">
        <f aca="false">F48+F49+F50+F51+F52+F53+F54+F55+F56+F57+F58</f>
        <v>1396457.095</v>
      </c>
      <c r="G59" s="19" t="n">
        <f aca="false">G48+G49+G50+G51+G52+G53+G54+G55+G56+G57+G58</f>
        <v>1400314.380475</v>
      </c>
      <c r="H59" s="19" t="n">
        <f aca="false">H48+H49+H50+H51+H52+H53+H54+H55+H56+H57+H58</f>
        <v>1404190.95237737</v>
      </c>
      <c r="I59" s="19" t="n">
        <f aca="false">I48+I49+I50+I51+I52+I53+I54+I55+I56+I57+I58</f>
        <v>1408086.90713926</v>
      </c>
      <c r="J59" s="19" t="n">
        <f aca="false">J48+J49+J50+J51+J52+J53+J54+J55+J56+J57+J58</f>
        <v>1412002.34167496</v>
      </c>
      <c r="K59" s="19" t="n">
        <f aca="false">K48+K49+K50+K51+K52+K53+K54+K55+K56+K57+K58</f>
        <v>1415937.35338333</v>
      </c>
      <c r="L59" s="19" t="n">
        <f aca="false">L48+L49+L50+L51+L52+L53+L54+L55+L56+L57+L58</f>
        <v>1419892.04015025</v>
      </c>
      <c r="M59" s="19" t="n">
        <f aca="false">M48+M49+M50+M51+M52+M53+M54+M55+M56+M57+M58</f>
        <v>1423866.500351</v>
      </c>
    </row>
    <row r="60" customFormat="false" ht="15" hidden="false" customHeight="false" outlineLevel="0" collapsed="false">
      <c r="A60" s="0" t="s">
        <v>646</v>
      </c>
      <c r="B60" s="0" t="s">
        <v>72</v>
      </c>
      <c r="C60" s="17" t="n">
        <f aca="false">Capex!C18</f>
        <v>380000</v>
      </c>
      <c r="D60" s="17" t="n">
        <f aca="false">Capex!D18</f>
        <v>0</v>
      </c>
      <c r="E60" s="17" t="n">
        <f aca="false">Capex!E18</f>
        <v>0</v>
      </c>
      <c r="F60" s="17" t="n">
        <f aca="false">Capex!F18</f>
        <v>0</v>
      </c>
      <c r="G60" s="17" t="n">
        <f aca="false">Capex!G18</f>
        <v>0</v>
      </c>
      <c r="H60" s="17" t="n">
        <f aca="false">Capex!H18</f>
        <v>0</v>
      </c>
      <c r="I60" s="17" t="n">
        <f aca="false">Capex!I18</f>
        <v>0</v>
      </c>
      <c r="J60" s="17" t="n">
        <f aca="false">Capex!J18</f>
        <v>0</v>
      </c>
      <c r="K60" s="17" t="n">
        <f aca="false">Capex!K18</f>
        <v>0</v>
      </c>
      <c r="L60" s="17" t="n">
        <f aca="false">Capex!L18</f>
        <v>0</v>
      </c>
      <c r="M60" s="17" t="n">
        <f aca="false">Capex!M18</f>
        <v>0</v>
      </c>
    </row>
    <row r="61" customFormat="false" ht="15" hidden="false" customHeight="false" outlineLevel="0" collapsed="false">
      <c r="A61" s="2" t="s">
        <v>647</v>
      </c>
      <c r="B61" s="8" t="s">
        <v>72</v>
      </c>
      <c r="C61" s="19" t="n">
        <f aca="false">C46+C59+C60</f>
        <v>380000</v>
      </c>
      <c r="D61" s="19" t="n">
        <f aca="false">D46+D59+D60</f>
        <v>5181621.402804</v>
      </c>
      <c r="E61" s="19" t="n">
        <f aca="false">E46+E59+E60</f>
        <v>7398824.7872049</v>
      </c>
      <c r="F61" s="19" t="n">
        <f aca="false">F46+F59+F60</f>
        <v>9041169.8153776</v>
      </c>
      <c r="G61" s="19" t="n">
        <f aca="false">G46+G59+G60</f>
        <v>9134584.7135678</v>
      </c>
      <c r="H61" s="19" t="n">
        <f aca="false">H46+H59+H60</f>
        <v>9436500.95031337</v>
      </c>
      <c r="I61" s="19" t="n">
        <f aca="false">I46+I59+I60</f>
        <v>9499466.81984486</v>
      </c>
      <c r="J61" s="19" t="n">
        <f aca="false">J46+J59+J60</f>
        <v>9571979.57475816</v>
      </c>
      <c r="K61" s="19" t="n">
        <f aca="false">K46+K59+K60</f>
        <v>9654039.31245213</v>
      </c>
      <c r="L61" s="19" t="n">
        <f aca="false">L46+L59+L60</f>
        <v>9657993.99921905</v>
      </c>
      <c r="M61" s="19" t="n">
        <f aca="false">M46+M59+M60</f>
        <v>9661968.4594198</v>
      </c>
    </row>
    <row r="62" customFormat="false" ht="15" hidden="false" customHeight="false" outlineLevel="0" collapsed="false">
      <c r="A62" s="9" t="s">
        <v>648</v>
      </c>
    </row>
    <row r="63" customFormat="false" ht="15" hidden="false" customHeight="false" outlineLevel="0" collapsed="false">
      <c r="A63" s="0" t="s">
        <v>649</v>
      </c>
      <c r="B63" s="0" t="s">
        <v>72</v>
      </c>
      <c r="C63" s="17" t="n">
        <f aca="false">C40+C41+C42+C43+C44</f>
        <v>0</v>
      </c>
      <c r="D63" s="17" t="n">
        <f aca="false">D40+D41+D42+D43+D44</f>
        <v>0</v>
      </c>
      <c r="E63" s="17" t="n">
        <f aca="false">E40+E41+E42+E43+E44</f>
        <v>0</v>
      </c>
      <c r="F63" s="17" t="n">
        <f aca="false">F40+F41+F42+F43+F44</f>
        <v>0</v>
      </c>
      <c r="G63" s="17" t="n">
        <f aca="false">G40+G41+G42+G43+G44</f>
        <v>0</v>
      </c>
      <c r="H63" s="17" t="n">
        <f aca="false">H40+H41+H42+H43+H44</f>
        <v>0</v>
      </c>
      <c r="I63" s="17" t="n">
        <f aca="false">I40+I41+I42+I43+I44</f>
        <v>0</v>
      </c>
      <c r="J63" s="17" t="n">
        <f aca="false">J40+J41+J42+J43+J44</f>
        <v>0</v>
      </c>
      <c r="K63" s="17" t="n">
        <f aca="false">K40+K41+K42+K43+K44</f>
        <v>0</v>
      </c>
      <c r="L63" s="17" t="n">
        <f aca="false">L40+L41+L42+L43+L44</f>
        <v>0</v>
      </c>
      <c r="M63" s="17" t="n">
        <f aca="false">M40+M41+M42+M43+M44</f>
        <v>0</v>
      </c>
    </row>
    <row r="64" customFormat="false" ht="15" hidden="false" customHeight="false" outlineLevel="0" collapsed="false">
      <c r="A64" s="0" t="s">
        <v>650</v>
      </c>
      <c r="B64" s="0" t="s">
        <v>72</v>
      </c>
      <c r="C64" s="17" t="n">
        <f aca="false">C55+C56+C57+C58</f>
        <v>0</v>
      </c>
      <c r="D64" s="17" t="n">
        <f aca="false">D55+D56+D57+D58</f>
        <v>0</v>
      </c>
      <c r="E64" s="17" t="n">
        <f aca="false">E55+E56+E57+E58</f>
        <v>0</v>
      </c>
      <c r="F64" s="17" t="n">
        <f aca="false">F55+F56+F57+F58</f>
        <v>0</v>
      </c>
      <c r="G64" s="17" t="n">
        <f aca="false">G55+G56+G57+G58</f>
        <v>0</v>
      </c>
      <c r="H64" s="17" t="n">
        <f aca="false">H55+H56+H57+H58</f>
        <v>0</v>
      </c>
      <c r="I64" s="17" t="n">
        <f aca="false">I55+I56+I57+I58</f>
        <v>0</v>
      </c>
      <c r="J64" s="17" t="n">
        <f aca="false">J55+J56+J57+J58</f>
        <v>0</v>
      </c>
      <c r="K64" s="17" t="n">
        <f aca="false">K55+K56+K57+K58</f>
        <v>0</v>
      </c>
      <c r="L64" s="17" t="n">
        <f aca="false">L55+L56+L57+L58</f>
        <v>0</v>
      </c>
      <c r="M64" s="17" t="n">
        <f aca="false">M55+M56+M57+M58</f>
        <v>0</v>
      </c>
    </row>
    <row r="65" customFormat="false" ht="15" hidden="false" customHeight="false" outlineLevel="0" collapsed="false">
      <c r="A65" s="2" t="s">
        <v>651</v>
      </c>
      <c r="B65" s="8" t="s">
        <v>72</v>
      </c>
      <c r="C65" s="19" t="n">
        <f aca="false">Revenue!C40-C63-C64</f>
        <v>0</v>
      </c>
      <c r="D65" s="19" t="n">
        <f aca="false">Revenue!D40-D63-D64</f>
        <v>0</v>
      </c>
      <c r="E65" s="19" t="n">
        <f aca="false">Revenue!E40-E63-E64</f>
        <v>0</v>
      </c>
      <c r="F65" s="19" t="n">
        <f aca="false">Revenue!F40-F63-F64</f>
        <v>0</v>
      </c>
      <c r="G65" s="19" t="n">
        <f aca="false">Revenue!G40-G63-G64</f>
        <v>0</v>
      </c>
      <c r="H65" s="19" t="n">
        <f aca="false">Revenue!H40-H63-H64</f>
        <v>0</v>
      </c>
      <c r="I65" s="19" t="n">
        <f aca="false">Revenue!I40-I63-I64</f>
        <v>0</v>
      </c>
      <c r="J65" s="19" t="n">
        <f aca="false">Revenue!J40-J63-J64</f>
        <v>0</v>
      </c>
      <c r="K65" s="19" t="n">
        <f aca="false">Revenue!K40-K63-K64</f>
        <v>0</v>
      </c>
      <c r="L65" s="19" t="n">
        <f aca="false">Revenue!L40-L63-L64</f>
        <v>0</v>
      </c>
      <c r="M65" s="19" t="n">
        <f aca="false">Revenue!M40-M63-M64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3" style="0" width="13"/>
  </cols>
  <sheetData>
    <row r="1" customFormat="false" ht="17.35" hidden="false" customHeight="false" outlineLevel="0" collapsed="false">
      <c r="A1" s="1" t="s">
        <v>652</v>
      </c>
    </row>
    <row r="2" customFormat="false" ht="15" hidden="false" customHeight="false" outlineLevel="0" collapsed="false">
      <c r="A2" s="5" t="s">
        <v>653</v>
      </c>
    </row>
    <row r="3" customFormat="false" ht="15" hidden="false" customHeight="false" outlineLevel="0" collapsed="false">
      <c r="A3" s="14" t="s">
        <v>544</v>
      </c>
      <c r="B3" s="14" t="s">
        <v>36</v>
      </c>
      <c r="C3" s="15" t="n">
        <f aca="false">2026+C4</f>
        <v>2026</v>
      </c>
      <c r="D3" s="15" t="n">
        <f aca="false">2026+D4</f>
        <v>2027</v>
      </c>
      <c r="E3" s="15" t="n">
        <f aca="false">2026+E4</f>
        <v>2028</v>
      </c>
      <c r="F3" s="15" t="n">
        <f aca="false">2026+F4</f>
        <v>2029</v>
      </c>
      <c r="G3" s="15" t="n">
        <f aca="false">2026+G4</f>
        <v>2030</v>
      </c>
      <c r="H3" s="15" t="n">
        <f aca="false">2026+H4</f>
        <v>2031</v>
      </c>
      <c r="I3" s="15" t="n">
        <f aca="false">2026+I4</f>
        <v>2032</v>
      </c>
      <c r="J3" s="15" t="n">
        <f aca="false">2026+J4</f>
        <v>2033</v>
      </c>
      <c r="K3" s="15" t="n">
        <f aca="false">2026+K4</f>
        <v>2034</v>
      </c>
      <c r="L3" s="15" t="n">
        <f aca="false">2026+L4</f>
        <v>2035</v>
      </c>
      <c r="M3" s="15" t="n">
        <f aca="false">2026+M4</f>
        <v>2036</v>
      </c>
    </row>
    <row r="4" customFormat="false" ht="15" hidden="false" customHeight="false" outlineLevel="0" collapsed="false">
      <c r="A4" s="14" t="s">
        <v>545</v>
      </c>
      <c r="B4" s="16"/>
      <c r="C4" s="15" t="n">
        <v>0</v>
      </c>
      <c r="D4" s="15" t="n">
        <v>1</v>
      </c>
      <c r="E4" s="15" t="n">
        <v>2</v>
      </c>
      <c r="F4" s="15" t="n">
        <v>3</v>
      </c>
      <c r="G4" s="15" t="n">
        <v>4</v>
      </c>
      <c r="H4" s="15" t="n">
        <v>5</v>
      </c>
      <c r="I4" s="15" t="n">
        <v>6</v>
      </c>
      <c r="J4" s="15" t="n">
        <v>7</v>
      </c>
      <c r="K4" s="15" t="n">
        <v>8</v>
      </c>
      <c r="L4" s="15" t="n">
        <v>9</v>
      </c>
      <c r="M4" s="15" t="n">
        <v>10</v>
      </c>
    </row>
    <row r="6" customFormat="false" ht="15" hidden="false" customHeight="false" outlineLevel="0" collapsed="false">
      <c r="A6" s="0" t="s">
        <v>590</v>
      </c>
      <c r="B6" s="0" t="s">
        <v>72</v>
      </c>
      <c r="C6" s="17" t="n">
        <f aca="false">Revenue!C25</f>
        <v>0</v>
      </c>
      <c r="D6" s="17" t="n">
        <f aca="false">Revenue!D25</f>
        <v>2871259.9608</v>
      </c>
      <c r="E6" s="17" t="n">
        <f aca="false">Revenue!E25</f>
        <v>4542961.1865792</v>
      </c>
      <c r="F6" s="17" t="n">
        <f aca="false">Revenue!F25</f>
        <v>5770295.43552</v>
      </c>
      <c r="G6" s="17" t="n">
        <f aca="false">Revenue!G25</f>
        <v>5812406.69856</v>
      </c>
      <c r="H6" s="17" t="n">
        <f aca="false">Revenue!H25</f>
        <v>5952549.1872</v>
      </c>
      <c r="I6" s="17" t="n">
        <f aca="false">Revenue!I25</f>
        <v>5980324.70112</v>
      </c>
      <c r="J6" s="17" t="n">
        <f aca="false">Revenue!J25</f>
        <v>6012580.13664</v>
      </c>
      <c r="K6" s="17" t="n">
        <f aca="false">Revenue!K25</f>
        <v>6049315.49376</v>
      </c>
      <c r="L6" s="17" t="n">
        <f aca="false">Revenue!L25</f>
        <v>6049315.49376</v>
      </c>
      <c r="M6" s="17" t="n">
        <f aca="false">Revenue!M25</f>
        <v>6049315.49376</v>
      </c>
    </row>
    <row r="7" customFormat="false" ht="15" hidden="false" customHeight="false" outlineLevel="0" collapsed="false">
      <c r="A7" s="0" t="s">
        <v>591</v>
      </c>
      <c r="B7" s="0" t="s">
        <v>72</v>
      </c>
      <c r="C7" s="17" t="n">
        <f aca="false">Revenue!C26</f>
        <v>0</v>
      </c>
      <c r="D7" s="17" t="n">
        <f aca="false">Revenue!D26</f>
        <v>1891475.6</v>
      </c>
      <c r="E7" s="17" t="n">
        <f aca="false">Revenue!E26</f>
        <v>2992728.0544</v>
      </c>
      <c r="F7" s="17" t="n">
        <f aca="false">Revenue!F26</f>
        <v>3801248.64</v>
      </c>
      <c r="G7" s="17" t="n">
        <f aca="false">Revenue!G26</f>
        <v>3828989.92</v>
      </c>
      <c r="H7" s="17" t="n">
        <f aca="false">Revenue!H26</f>
        <v>3921310.4</v>
      </c>
      <c r="I7" s="17" t="n">
        <f aca="false">Revenue!I26</f>
        <v>3939607.84</v>
      </c>
      <c r="J7" s="17" t="n">
        <f aca="false">Revenue!J26</f>
        <v>3960856.48</v>
      </c>
      <c r="K7" s="17" t="n">
        <f aca="false">Revenue!K26</f>
        <v>3985056.32</v>
      </c>
      <c r="L7" s="17" t="n">
        <f aca="false">Revenue!L26</f>
        <v>3985056.32</v>
      </c>
      <c r="M7" s="17" t="n">
        <f aca="false">Revenue!M26</f>
        <v>3985056.32</v>
      </c>
    </row>
    <row r="8" customFormat="false" ht="15" hidden="false" customHeight="false" outlineLevel="0" collapsed="false">
      <c r="A8" s="0" t="s">
        <v>654</v>
      </c>
      <c r="B8" s="0" t="s">
        <v>72</v>
      </c>
      <c r="C8" s="17" t="n">
        <f aca="false">Revenue!C27</f>
        <v>0</v>
      </c>
      <c r="D8" s="17" t="n">
        <f aca="false">Revenue!D27</f>
        <v>0</v>
      </c>
      <c r="E8" s="17" t="n">
        <f aca="false">Revenue!E27</f>
        <v>0</v>
      </c>
      <c r="F8" s="17" t="n">
        <f aca="false">Revenue!F27</f>
        <v>0</v>
      </c>
      <c r="G8" s="17" t="n">
        <f aca="false">Revenue!G27</f>
        <v>0</v>
      </c>
      <c r="H8" s="17" t="n">
        <f aca="false">Revenue!H27</f>
        <v>0</v>
      </c>
      <c r="I8" s="17" t="n">
        <f aca="false">Revenue!I27</f>
        <v>0</v>
      </c>
      <c r="J8" s="17" t="n">
        <f aca="false">Revenue!J27</f>
        <v>0</v>
      </c>
      <c r="K8" s="17" t="n">
        <f aca="false">Revenue!K27</f>
        <v>0</v>
      </c>
      <c r="L8" s="17" t="n">
        <f aca="false">Revenue!L27</f>
        <v>0</v>
      </c>
      <c r="M8" s="17" t="n">
        <f aca="false">Revenue!M27</f>
        <v>0</v>
      </c>
    </row>
    <row r="9" customFormat="false" ht="15" hidden="false" customHeight="false" outlineLevel="0" collapsed="false">
      <c r="A9" s="0" t="s">
        <v>655</v>
      </c>
      <c r="B9" s="0" t="s">
        <v>72</v>
      </c>
      <c r="C9" s="17" t="n">
        <f aca="false">Revenue!C40</f>
        <v>0</v>
      </c>
      <c r="D9" s="17" t="n">
        <f aca="false">Revenue!D40</f>
        <v>0</v>
      </c>
      <c r="E9" s="17" t="n">
        <f aca="false">Revenue!E40</f>
        <v>0</v>
      </c>
      <c r="F9" s="17" t="n">
        <f aca="false">Revenue!F40</f>
        <v>0</v>
      </c>
      <c r="G9" s="17" t="n">
        <f aca="false">Revenue!G40</f>
        <v>0</v>
      </c>
      <c r="H9" s="17" t="n">
        <f aca="false">Revenue!H40</f>
        <v>0</v>
      </c>
      <c r="I9" s="17" t="n">
        <f aca="false">Revenue!I40</f>
        <v>0</v>
      </c>
      <c r="J9" s="17" t="n">
        <f aca="false">Revenue!J40</f>
        <v>0</v>
      </c>
      <c r="K9" s="17" t="n">
        <f aca="false">Revenue!K40</f>
        <v>0</v>
      </c>
      <c r="L9" s="17" t="n">
        <f aca="false">Revenue!L40</f>
        <v>0</v>
      </c>
      <c r="M9" s="17" t="n">
        <f aca="false">Revenue!M40</f>
        <v>0</v>
      </c>
    </row>
    <row r="10" customFormat="false" ht="15" hidden="false" customHeight="false" outlineLevel="0" collapsed="false">
      <c r="A10" s="2" t="s">
        <v>656</v>
      </c>
      <c r="B10" s="8" t="s">
        <v>72</v>
      </c>
      <c r="C10" s="19" t="n">
        <f aca="false">C6+C7+C8+C9</f>
        <v>0</v>
      </c>
      <c r="D10" s="19" t="n">
        <f aca="false">D6+D7+D8+D9</f>
        <v>4762735.5608</v>
      </c>
      <c r="E10" s="19" t="n">
        <f aca="false">E6+E7+E8+E9</f>
        <v>7535689.2409792</v>
      </c>
      <c r="F10" s="19" t="n">
        <f aca="false">F6+F7+F8+F9</f>
        <v>9571544.07552</v>
      </c>
      <c r="G10" s="19" t="n">
        <f aca="false">G6+G7+G8+G9</f>
        <v>9641396.61856</v>
      </c>
      <c r="H10" s="19" t="n">
        <f aca="false">H6+H7+H8+H9</f>
        <v>9873859.5872</v>
      </c>
      <c r="I10" s="19" t="n">
        <f aca="false">I6+I7+I8+I9</f>
        <v>9919932.54112</v>
      </c>
      <c r="J10" s="19" t="n">
        <f aca="false">J6+J7+J8+J9</f>
        <v>9973436.61664</v>
      </c>
      <c r="K10" s="19" t="n">
        <f aca="false">K6+K7+K8+K9</f>
        <v>10034371.81376</v>
      </c>
      <c r="L10" s="19" t="n">
        <f aca="false">L6+L7+L8+L9</f>
        <v>10034371.81376</v>
      </c>
      <c r="M10" s="19" t="n">
        <f aca="false">M6+M7+M8+M9</f>
        <v>10034371.81376</v>
      </c>
    </row>
    <row r="11" customFormat="false" ht="15" hidden="false" customHeight="false" outlineLevel="0" collapsed="false">
      <c r="A11" s="0" t="s">
        <v>657</v>
      </c>
      <c r="B11" s="0" t="s">
        <v>72</v>
      </c>
      <c r="C11" s="17" t="n">
        <f aca="false">-Opex!C34</f>
        <v>-0</v>
      </c>
      <c r="D11" s="17" t="n">
        <f aca="false">-Opex!D34</f>
        <v>-3051129.725</v>
      </c>
      <c r="E11" s="17" t="n">
        <f aca="false">-Opex!E34</f>
        <v>-4834280.101</v>
      </c>
      <c r="F11" s="17" t="n">
        <f aca="false">-Opex!F34</f>
        <v>-6161099</v>
      </c>
      <c r="G11" s="17" t="n">
        <f aca="false">-Opex!G34</f>
        <v>-6250307.35</v>
      </c>
      <c r="H11" s="17" t="n">
        <f aca="false">-Opex!H34</f>
        <v>-6547184.7</v>
      </c>
      <c r="I11" s="17" t="n">
        <f aca="false">-Opex!I34</f>
        <v>-6606024.25</v>
      </c>
      <c r="J11" s="17" t="n">
        <f aca="false">-Opex!J34</f>
        <v>-6674354.05</v>
      </c>
      <c r="K11" s="17" t="n">
        <f aca="false">-Opex!K34</f>
        <v>-6752174.1</v>
      </c>
      <c r="L11" s="17" t="n">
        <f aca="false">-Opex!L34</f>
        <v>-6752174.1</v>
      </c>
      <c r="M11" s="17" t="n">
        <f aca="false">-Opex!M34</f>
        <v>-6752174.1</v>
      </c>
    </row>
    <row r="12" customFormat="false" ht="15" hidden="false" customHeight="false" outlineLevel="0" collapsed="false">
      <c r="A12" s="0" t="s">
        <v>658</v>
      </c>
      <c r="B12" s="0" t="s">
        <v>72</v>
      </c>
      <c r="C12" s="17" t="n">
        <f aca="false">-Opex!C35</f>
        <v>-0</v>
      </c>
      <c r="D12" s="17" t="n">
        <f aca="false">-Opex!D35</f>
        <v>-21168</v>
      </c>
      <c r="E12" s="17" t="n">
        <f aca="false">-Opex!E35</f>
        <v>-33445.44</v>
      </c>
      <c r="F12" s="17" t="n">
        <f aca="false">-Opex!F35</f>
        <v>-42336</v>
      </c>
      <c r="G12" s="17" t="n">
        <f aca="false">-Opex!G35</f>
        <v>-42336</v>
      </c>
      <c r="H12" s="17" t="n">
        <f aca="false">-Opex!H35</f>
        <v>-42336</v>
      </c>
      <c r="I12" s="17" t="n">
        <f aca="false">-Opex!I35</f>
        <v>-42336</v>
      </c>
      <c r="J12" s="17" t="n">
        <f aca="false">-Opex!J35</f>
        <v>-42336</v>
      </c>
      <c r="K12" s="17" t="n">
        <f aca="false">-Opex!K35</f>
        <v>-42336</v>
      </c>
      <c r="L12" s="17" t="n">
        <f aca="false">-Opex!L35</f>
        <v>-42336</v>
      </c>
      <c r="M12" s="17" t="n">
        <f aca="false">-Opex!M35</f>
        <v>-42336</v>
      </c>
    </row>
    <row r="13" customFormat="false" ht="15" hidden="false" customHeight="false" outlineLevel="0" collapsed="false">
      <c r="A13" s="0" t="s">
        <v>659</v>
      </c>
      <c r="B13" s="0" t="s">
        <v>72</v>
      </c>
      <c r="C13" s="17" t="n">
        <f aca="false">-Opex!C36</f>
        <v>-0</v>
      </c>
      <c r="D13" s="17" t="n">
        <f aca="false">-Opex!D36</f>
        <v>-31710</v>
      </c>
      <c r="E13" s="17" t="n">
        <f aca="false">-Opex!E36</f>
        <v>-50101.8</v>
      </c>
      <c r="F13" s="17" t="n">
        <f aca="false">-Opex!F36</f>
        <v>-63420</v>
      </c>
      <c r="G13" s="17" t="n">
        <f aca="false">-Opex!G36</f>
        <v>-63420</v>
      </c>
      <c r="H13" s="17" t="n">
        <f aca="false">-Opex!H36</f>
        <v>-63420</v>
      </c>
      <c r="I13" s="17" t="n">
        <f aca="false">-Opex!I36</f>
        <v>-63420</v>
      </c>
      <c r="J13" s="17" t="n">
        <f aca="false">-Opex!J36</f>
        <v>-63420</v>
      </c>
      <c r="K13" s="17" t="n">
        <f aca="false">-Opex!K36</f>
        <v>-63420</v>
      </c>
      <c r="L13" s="17" t="n">
        <f aca="false">-Opex!L36</f>
        <v>-63420</v>
      </c>
      <c r="M13" s="17" t="n">
        <f aca="false">-Opex!M36</f>
        <v>-63420</v>
      </c>
    </row>
    <row r="14" customFormat="false" ht="15" hidden="false" customHeight="false" outlineLevel="0" collapsed="false">
      <c r="A14" s="0" t="s">
        <v>660</v>
      </c>
      <c r="B14" s="0" t="s">
        <v>72</v>
      </c>
      <c r="C14" s="17" t="n">
        <f aca="false">-Opex!C37</f>
        <v>-0</v>
      </c>
      <c r="D14" s="17" t="n">
        <f aca="false">-Opex!D37</f>
        <v>-665000</v>
      </c>
      <c r="E14" s="17" t="n">
        <f aca="false">-Opex!E37</f>
        <v>-1050700</v>
      </c>
      <c r="F14" s="17" t="n">
        <f aca="false">-Opex!F37</f>
        <v>-1330000</v>
      </c>
      <c r="G14" s="17" t="n">
        <f aca="false">-Opex!G37</f>
        <v>-1330000</v>
      </c>
      <c r="H14" s="17" t="n">
        <f aca="false">-Opex!H37</f>
        <v>-1330000</v>
      </c>
      <c r="I14" s="17" t="n">
        <f aca="false">-Opex!I37</f>
        <v>-1330000</v>
      </c>
      <c r="J14" s="17" t="n">
        <f aca="false">-Opex!J37</f>
        <v>-1330000</v>
      </c>
      <c r="K14" s="17" t="n">
        <f aca="false">-Opex!K37</f>
        <v>-1330000</v>
      </c>
      <c r="L14" s="17" t="n">
        <f aca="false">-Opex!L37</f>
        <v>-1330000</v>
      </c>
      <c r="M14" s="17" t="n">
        <f aca="false">-Opex!M37</f>
        <v>-1330000</v>
      </c>
    </row>
    <row r="15" customFormat="false" ht="15" hidden="false" customHeight="false" outlineLevel="0" collapsed="false">
      <c r="A15" s="0" t="s">
        <v>661</v>
      </c>
      <c r="B15" s="0" t="s">
        <v>72</v>
      </c>
      <c r="C15" s="17" t="n">
        <f aca="false">-Opex!C38</f>
        <v>-0</v>
      </c>
      <c r="D15" s="17" t="n">
        <f aca="false">-Opex!D38</f>
        <v>-0</v>
      </c>
      <c r="E15" s="17" t="n">
        <f aca="false">-Opex!E38</f>
        <v>-0</v>
      </c>
      <c r="F15" s="17" t="n">
        <f aca="false">-Opex!F38</f>
        <v>-0</v>
      </c>
      <c r="G15" s="17" t="n">
        <f aca="false">-Opex!G38</f>
        <v>-0</v>
      </c>
      <c r="H15" s="17" t="n">
        <f aca="false">-Opex!H38</f>
        <v>-0</v>
      </c>
      <c r="I15" s="17" t="n">
        <f aca="false">-Opex!I38</f>
        <v>-0</v>
      </c>
      <c r="J15" s="17" t="n">
        <f aca="false">-Opex!J38</f>
        <v>-0</v>
      </c>
      <c r="K15" s="17" t="n">
        <f aca="false">-Opex!K38</f>
        <v>-0</v>
      </c>
      <c r="L15" s="17" t="n">
        <f aca="false">-Opex!L38</f>
        <v>-0</v>
      </c>
      <c r="M15" s="17" t="n">
        <f aca="false">-Opex!M38</f>
        <v>-0</v>
      </c>
    </row>
    <row r="16" customFormat="false" ht="15" hidden="false" customHeight="false" outlineLevel="0" collapsed="false">
      <c r="A16" s="0" t="s">
        <v>662</v>
      </c>
      <c r="B16" s="0" t="s">
        <v>72</v>
      </c>
      <c r="C16" s="17" t="n">
        <f aca="false">-Opex!C39</f>
        <v>-0</v>
      </c>
      <c r="D16" s="17" t="n">
        <f aca="false">-Opex!D39</f>
        <v>-0</v>
      </c>
      <c r="E16" s="17" t="n">
        <f aca="false">-Opex!E39</f>
        <v>-0</v>
      </c>
      <c r="F16" s="17" t="n">
        <f aca="false">-Opex!F39</f>
        <v>-0</v>
      </c>
      <c r="G16" s="17" t="n">
        <f aca="false">-Opex!G39</f>
        <v>-0</v>
      </c>
      <c r="H16" s="17" t="n">
        <f aca="false">-Opex!H39</f>
        <v>-0</v>
      </c>
      <c r="I16" s="17" t="n">
        <f aca="false">-Opex!I39</f>
        <v>-0</v>
      </c>
      <c r="J16" s="17" t="n">
        <f aca="false">-Opex!J39</f>
        <v>-0</v>
      </c>
      <c r="K16" s="17" t="n">
        <f aca="false">-Opex!K39</f>
        <v>-0</v>
      </c>
      <c r="L16" s="17" t="n">
        <f aca="false">-Opex!L39</f>
        <v>-0</v>
      </c>
      <c r="M16" s="17" t="n">
        <f aca="false">-Opex!M39</f>
        <v>-0</v>
      </c>
    </row>
    <row r="17" customFormat="false" ht="15" hidden="false" customHeight="false" outlineLevel="0" collapsed="false">
      <c r="A17" s="0" t="s">
        <v>663</v>
      </c>
      <c r="B17" s="0" t="s">
        <v>72</v>
      </c>
      <c r="C17" s="17" t="n">
        <f aca="false">-Opex!C40</f>
        <v>0</v>
      </c>
      <c r="D17" s="17" t="n">
        <f aca="false">-Opex!D40</f>
        <v>0</v>
      </c>
      <c r="E17" s="17" t="n">
        <f aca="false">-Opex!E40</f>
        <v>0</v>
      </c>
      <c r="F17" s="17" t="n">
        <f aca="false">-Opex!F40</f>
        <v>0</v>
      </c>
      <c r="G17" s="17" t="n">
        <f aca="false">-Opex!G40</f>
        <v>0</v>
      </c>
      <c r="H17" s="17" t="n">
        <f aca="false">-Opex!H40</f>
        <v>0</v>
      </c>
      <c r="I17" s="17" t="n">
        <f aca="false">-Opex!I40</f>
        <v>0</v>
      </c>
      <c r="J17" s="17" t="n">
        <f aca="false">-Opex!J40</f>
        <v>0</v>
      </c>
      <c r="K17" s="17" t="n">
        <f aca="false">-Opex!K40</f>
        <v>0</v>
      </c>
      <c r="L17" s="17" t="n">
        <f aca="false">-Opex!L40</f>
        <v>0</v>
      </c>
      <c r="M17" s="17" t="n">
        <f aca="false">-Opex!M40</f>
        <v>0</v>
      </c>
    </row>
    <row r="18" customFormat="false" ht="15" hidden="false" customHeight="false" outlineLevel="0" collapsed="false">
      <c r="A18" s="0" t="s">
        <v>664</v>
      </c>
      <c r="B18" s="0" t="s">
        <v>72</v>
      </c>
      <c r="C18" s="17" t="n">
        <f aca="false">-Opex!C41</f>
        <v>-0</v>
      </c>
      <c r="D18" s="17" t="n">
        <f aca="false">-Opex!D41</f>
        <v>-0</v>
      </c>
      <c r="E18" s="17" t="n">
        <f aca="false">-Opex!E41</f>
        <v>-0</v>
      </c>
      <c r="F18" s="17" t="n">
        <f aca="false">-Opex!F41</f>
        <v>-0</v>
      </c>
      <c r="G18" s="17" t="n">
        <f aca="false">-Opex!G41</f>
        <v>-0</v>
      </c>
      <c r="H18" s="17" t="n">
        <f aca="false">-Opex!H41</f>
        <v>-0</v>
      </c>
      <c r="I18" s="17" t="n">
        <f aca="false">-Opex!I41</f>
        <v>-0</v>
      </c>
      <c r="J18" s="17" t="n">
        <f aca="false">-Opex!J41</f>
        <v>-0</v>
      </c>
      <c r="K18" s="17" t="n">
        <f aca="false">-Opex!K41</f>
        <v>-0</v>
      </c>
      <c r="L18" s="17" t="n">
        <f aca="false">-Opex!L41</f>
        <v>-0</v>
      </c>
      <c r="M18" s="17" t="n">
        <f aca="false">-Opex!M41</f>
        <v>-0</v>
      </c>
    </row>
    <row r="19" customFormat="false" ht="15" hidden="false" customHeight="false" outlineLevel="0" collapsed="false">
      <c r="A19" s="0" t="s">
        <v>665</v>
      </c>
      <c r="B19" s="0" t="s">
        <v>72</v>
      </c>
      <c r="C19" s="17" t="n">
        <f aca="false">-Opex!C42</f>
        <v>-0</v>
      </c>
      <c r="D19" s="17" t="n">
        <f aca="false">-Opex!D42</f>
        <v>-0</v>
      </c>
      <c r="E19" s="17" t="n">
        <f aca="false">-Opex!E42</f>
        <v>-0</v>
      </c>
      <c r="F19" s="17" t="n">
        <f aca="false">-Opex!F42</f>
        <v>-0</v>
      </c>
      <c r="G19" s="17" t="n">
        <f aca="false">-Opex!G42</f>
        <v>-0</v>
      </c>
      <c r="H19" s="17" t="n">
        <f aca="false">-Opex!H42</f>
        <v>-0</v>
      </c>
      <c r="I19" s="17" t="n">
        <f aca="false">-Opex!I42</f>
        <v>-0</v>
      </c>
      <c r="J19" s="17" t="n">
        <f aca="false">-Opex!J42</f>
        <v>-0</v>
      </c>
      <c r="K19" s="17" t="n">
        <f aca="false">-Opex!K42</f>
        <v>-0</v>
      </c>
      <c r="L19" s="17" t="n">
        <f aca="false">-Opex!L42</f>
        <v>-0</v>
      </c>
      <c r="M19" s="17" t="n">
        <f aca="false">-Opex!M42</f>
        <v>-0</v>
      </c>
    </row>
    <row r="20" customFormat="false" ht="15" hidden="false" customHeight="false" outlineLevel="0" collapsed="false">
      <c r="A20" s="0" t="s">
        <v>666</v>
      </c>
      <c r="B20" s="0" t="s">
        <v>72</v>
      </c>
      <c r="C20" s="17" t="n">
        <f aca="false">-Opex!C43</f>
        <v>-0</v>
      </c>
      <c r="D20" s="17" t="n">
        <f aca="false">-Opex!D43</f>
        <v>-0</v>
      </c>
      <c r="E20" s="17" t="n">
        <f aca="false">-Opex!E43</f>
        <v>-0</v>
      </c>
      <c r="F20" s="17" t="n">
        <f aca="false">-Opex!F43</f>
        <v>-0</v>
      </c>
      <c r="G20" s="17" t="n">
        <f aca="false">-Opex!G43</f>
        <v>-0</v>
      </c>
      <c r="H20" s="17" t="n">
        <f aca="false">-Opex!H43</f>
        <v>-0</v>
      </c>
      <c r="I20" s="17" t="n">
        <f aca="false">-Opex!I43</f>
        <v>-0</v>
      </c>
      <c r="J20" s="17" t="n">
        <f aca="false">-Opex!J43</f>
        <v>-0</v>
      </c>
      <c r="K20" s="17" t="n">
        <f aca="false">-Opex!K43</f>
        <v>-0</v>
      </c>
      <c r="L20" s="17" t="n">
        <f aca="false">-Opex!L43</f>
        <v>-0</v>
      </c>
      <c r="M20" s="17" t="n">
        <f aca="false">-Opex!M43</f>
        <v>-0</v>
      </c>
    </row>
    <row r="21" customFormat="false" ht="15" hidden="false" customHeight="false" outlineLevel="0" collapsed="false">
      <c r="A21" s="0" t="s">
        <v>667</v>
      </c>
      <c r="B21" s="0" t="s">
        <v>72</v>
      </c>
      <c r="C21" s="17" t="n">
        <f aca="false">-Opex!C44</f>
        <v>-0</v>
      </c>
      <c r="D21" s="17" t="n">
        <f aca="false">-Opex!D44</f>
        <v>-0</v>
      </c>
      <c r="E21" s="17" t="n">
        <f aca="false">-Opex!E44</f>
        <v>-0</v>
      </c>
      <c r="F21" s="17" t="n">
        <f aca="false">-Opex!F44</f>
        <v>-0</v>
      </c>
      <c r="G21" s="17" t="n">
        <f aca="false">-Opex!G44</f>
        <v>-0</v>
      </c>
      <c r="H21" s="17" t="n">
        <f aca="false">-Opex!H44</f>
        <v>-0</v>
      </c>
      <c r="I21" s="17" t="n">
        <f aca="false">-Opex!I44</f>
        <v>-0</v>
      </c>
      <c r="J21" s="17" t="n">
        <f aca="false">-Opex!J44</f>
        <v>-0</v>
      </c>
      <c r="K21" s="17" t="n">
        <f aca="false">-Opex!K44</f>
        <v>-0</v>
      </c>
      <c r="L21" s="17" t="n">
        <f aca="false">-Opex!L44</f>
        <v>-0</v>
      </c>
      <c r="M21" s="17" t="n">
        <f aca="false">-Opex!M44</f>
        <v>-0</v>
      </c>
    </row>
    <row r="22" customFormat="false" ht="15" hidden="false" customHeight="false" outlineLevel="0" collapsed="false">
      <c r="A22" s="0" t="s">
        <v>668</v>
      </c>
      <c r="B22" s="0" t="s">
        <v>72</v>
      </c>
      <c r="C22" s="17" t="n">
        <f aca="false">-Opex!C45</f>
        <v>-0</v>
      </c>
      <c r="D22" s="17" t="n">
        <f aca="false">-Opex!D45</f>
        <v>-23813.677804</v>
      </c>
      <c r="E22" s="17" t="n">
        <f aca="false">-Opex!E45</f>
        <v>-37678.446204896</v>
      </c>
      <c r="F22" s="17" t="n">
        <f aca="false">-Opex!F45</f>
        <v>-47857.7203776</v>
      </c>
      <c r="G22" s="17" t="n">
        <f aca="false">-Opex!G45</f>
        <v>-48206.9830928</v>
      </c>
      <c r="H22" s="17" t="n">
        <f aca="false">-Opex!H45</f>
        <v>-49369.297936</v>
      </c>
      <c r="I22" s="17" t="n">
        <f aca="false">-Opex!I45</f>
        <v>-49599.6627056</v>
      </c>
      <c r="J22" s="17" t="n">
        <f aca="false">-Opex!J45</f>
        <v>-49867.1830832</v>
      </c>
      <c r="K22" s="17" t="n">
        <f aca="false">-Opex!K45</f>
        <v>-50171.8590688</v>
      </c>
      <c r="L22" s="17" t="n">
        <f aca="false">-Opex!L45</f>
        <v>-50171.8590688</v>
      </c>
      <c r="M22" s="17" t="n">
        <f aca="false">-Opex!M45</f>
        <v>-50171.8590688</v>
      </c>
    </row>
    <row r="23" customFormat="false" ht="15" hidden="false" customHeight="false" outlineLevel="0" collapsed="false">
      <c r="A23" s="0" t="s">
        <v>669</v>
      </c>
      <c r="B23" s="0" t="s">
        <v>72</v>
      </c>
      <c r="C23" s="17" t="n">
        <f aca="false">-Opex!C48</f>
        <v>-0</v>
      </c>
      <c r="D23" s="17" t="n">
        <f aca="false">-Opex!D48</f>
        <v>-492450</v>
      </c>
      <c r="E23" s="17" t="n">
        <f aca="false">-Opex!E48</f>
        <v>-494912.25</v>
      </c>
      <c r="F23" s="17" t="n">
        <f aca="false">-Opex!F48</f>
        <v>-497386.81125</v>
      </c>
      <c r="G23" s="17" t="n">
        <f aca="false">-Opex!G48</f>
        <v>-499873.74530625</v>
      </c>
      <c r="H23" s="17" t="n">
        <f aca="false">-Opex!H48</f>
        <v>-502373.114032781</v>
      </c>
      <c r="I23" s="17" t="n">
        <f aca="false">-Opex!I48</f>
        <v>-504884.979602945</v>
      </c>
      <c r="J23" s="17" t="n">
        <f aca="false">-Opex!J48</f>
        <v>-507409.40450096</v>
      </c>
      <c r="K23" s="17" t="n">
        <f aca="false">-Opex!K48</f>
        <v>-509946.451523464</v>
      </c>
      <c r="L23" s="17" t="n">
        <f aca="false">-Opex!L48</f>
        <v>-512496.183781081</v>
      </c>
      <c r="M23" s="17" t="n">
        <f aca="false">-Opex!M48</f>
        <v>-515058.664699987</v>
      </c>
    </row>
    <row r="24" customFormat="false" ht="15" hidden="false" customHeight="false" outlineLevel="0" collapsed="false">
      <c r="A24" s="0" t="s">
        <v>670</v>
      </c>
      <c r="B24" s="0" t="s">
        <v>72</v>
      </c>
      <c r="C24" s="17" t="n">
        <f aca="false">-Opex!C49</f>
        <v>-0</v>
      </c>
      <c r="D24" s="17" t="n">
        <f aca="false">-Opex!D49</f>
        <v>-125000</v>
      </c>
      <c r="E24" s="17" t="n">
        <f aca="false">-Opex!E49</f>
        <v>-125000</v>
      </c>
      <c r="F24" s="17" t="n">
        <f aca="false">-Opex!F49</f>
        <v>-125000</v>
      </c>
      <c r="G24" s="17" t="n">
        <f aca="false">-Opex!G49</f>
        <v>-125000</v>
      </c>
      <c r="H24" s="17" t="n">
        <f aca="false">-Opex!H49</f>
        <v>-125000</v>
      </c>
      <c r="I24" s="17" t="n">
        <f aca="false">-Opex!I49</f>
        <v>-125000</v>
      </c>
      <c r="J24" s="17" t="n">
        <f aca="false">-Opex!J49</f>
        <v>-125000</v>
      </c>
      <c r="K24" s="17" t="n">
        <f aca="false">-Opex!K49</f>
        <v>-125000</v>
      </c>
      <c r="L24" s="17" t="n">
        <f aca="false">-Opex!L49</f>
        <v>-125000</v>
      </c>
      <c r="M24" s="17" t="n">
        <f aca="false">-Opex!M49</f>
        <v>-125000</v>
      </c>
    </row>
    <row r="25" customFormat="false" ht="15" hidden="false" customHeight="false" outlineLevel="0" collapsed="false">
      <c r="A25" s="0" t="s">
        <v>671</v>
      </c>
      <c r="B25" s="0" t="s">
        <v>72</v>
      </c>
      <c r="C25" s="17" t="n">
        <f aca="false">-Opex!C50</f>
        <v>-0</v>
      </c>
      <c r="D25" s="17" t="n">
        <f aca="false">-Opex!D50</f>
        <v>-50000</v>
      </c>
      <c r="E25" s="17" t="n">
        <f aca="false">-Opex!E50</f>
        <v>-50000</v>
      </c>
      <c r="F25" s="17" t="n">
        <f aca="false">-Opex!F50</f>
        <v>-50000</v>
      </c>
      <c r="G25" s="17" t="n">
        <f aca="false">-Opex!G50</f>
        <v>-50000</v>
      </c>
      <c r="H25" s="17" t="n">
        <f aca="false">-Opex!H50</f>
        <v>-50000</v>
      </c>
      <c r="I25" s="17" t="n">
        <f aca="false">-Opex!I50</f>
        <v>-50000</v>
      </c>
      <c r="J25" s="17" t="n">
        <f aca="false">-Opex!J50</f>
        <v>-50000</v>
      </c>
      <c r="K25" s="17" t="n">
        <f aca="false">-Opex!K50</f>
        <v>-50000</v>
      </c>
      <c r="L25" s="17" t="n">
        <f aca="false">-Opex!L50</f>
        <v>-50000</v>
      </c>
      <c r="M25" s="17" t="n">
        <f aca="false">-Opex!M50</f>
        <v>-50000</v>
      </c>
    </row>
    <row r="26" customFormat="false" ht="15" hidden="false" customHeight="false" outlineLevel="0" collapsed="false">
      <c r="A26" s="0" t="s">
        <v>672</v>
      </c>
      <c r="B26" s="0" t="s">
        <v>72</v>
      </c>
      <c r="C26" s="17" t="n">
        <f aca="false">-Opex!C51</f>
        <v>-0</v>
      </c>
      <c r="D26" s="17" t="n">
        <f aca="false">-Opex!D51</f>
        <v>-150000</v>
      </c>
      <c r="E26" s="17" t="n">
        <f aca="false">-Opex!E51</f>
        <v>-150000</v>
      </c>
      <c r="F26" s="17" t="n">
        <f aca="false">-Opex!F51</f>
        <v>-150000</v>
      </c>
      <c r="G26" s="17" t="n">
        <f aca="false">-Opex!G51</f>
        <v>-150000</v>
      </c>
      <c r="H26" s="17" t="n">
        <f aca="false">-Opex!H51</f>
        <v>-150000</v>
      </c>
      <c r="I26" s="17" t="n">
        <f aca="false">-Opex!I51</f>
        <v>-150000</v>
      </c>
      <c r="J26" s="17" t="n">
        <f aca="false">-Opex!J51</f>
        <v>-150000</v>
      </c>
      <c r="K26" s="17" t="n">
        <f aca="false">-Opex!K51</f>
        <v>-150000</v>
      </c>
      <c r="L26" s="17" t="n">
        <f aca="false">-Opex!L51</f>
        <v>-150000</v>
      </c>
      <c r="M26" s="17" t="n">
        <f aca="false">-Opex!M51</f>
        <v>-150000</v>
      </c>
    </row>
    <row r="27" customFormat="false" ht="15" hidden="false" customHeight="false" outlineLevel="0" collapsed="false">
      <c r="A27" s="0" t="s">
        <v>673</v>
      </c>
      <c r="B27" s="0" t="s">
        <v>72</v>
      </c>
      <c r="C27" s="17" t="n">
        <f aca="false">-Opex!C52</f>
        <v>-0</v>
      </c>
      <c r="D27" s="17" t="n">
        <f aca="false">-Opex!D52</f>
        <v>-271350</v>
      </c>
      <c r="E27" s="17" t="n">
        <f aca="false">-Opex!E52</f>
        <v>-272706.75</v>
      </c>
      <c r="F27" s="17" t="n">
        <f aca="false">-Opex!F52</f>
        <v>-274070.28375</v>
      </c>
      <c r="G27" s="17" t="n">
        <f aca="false">-Opex!G52</f>
        <v>-275440.63516875</v>
      </c>
      <c r="H27" s="17" t="n">
        <f aca="false">-Opex!H52</f>
        <v>-276817.838344594</v>
      </c>
      <c r="I27" s="17" t="n">
        <f aca="false">-Opex!I52</f>
        <v>-278201.927536317</v>
      </c>
      <c r="J27" s="17" t="n">
        <f aca="false">-Opex!J52</f>
        <v>-279592.937173998</v>
      </c>
      <c r="K27" s="17" t="n">
        <f aca="false">-Opex!K52</f>
        <v>-280990.901859868</v>
      </c>
      <c r="L27" s="17" t="n">
        <f aca="false">-Opex!L52</f>
        <v>-282395.856369167</v>
      </c>
      <c r="M27" s="17" t="n">
        <f aca="false">-Opex!M52</f>
        <v>-283807.835651013</v>
      </c>
    </row>
    <row r="28" customFormat="false" ht="15" hidden="false" customHeight="false" outlineLevel="0" collapsed="false">
      <c r="A28" s="0" t="s">
        <v>674</v>
      </c>
      <c r="B28" s="0" t="s">
        <v>72</v>
      </c>
      <c r="C28" s="17" t="n">
        <f aca="false">-Opex!C53</f>
        <v>-0</v>
      </c>
      <c r="D28" s="17" t="n">
        <f aca="false">-Opex!D53</f>
        <v>-300000</v>
      </c>
      <c r="E28" s="17" t="n">
        <f aca="false">-Opex!E53</f>
        <v>-300000</v>
      </c>
      <c r="F28" s="17" t="n">
        <f aca="false">-Opex!F53</f>
        <v>-300000</v>
      </c>
      <c r="G28" s="17" t="n">
        <f aca="false">-Opex!G53</f>
        <v>-300000</v>
      </c>
      <c r="H28" s="17" t="n">
        <f aca="false">-Opex!H53</f>
        <v>-300000</v>
      </c>
      <c r="I28" s="17" t="n">
        <f aca="false">-Opex!I53</f>
        <v>-300000</v>
      </c>
      <c r="J28" s="17" t="n">
        <f aca="false">-Opex!J53</f>
        <v>-300000</v>
      </c>
      <c r="K28" s="17" t="n">
        <f aca="false">-Opex!K53</f>
        <v>-300000</v>
      </c>
      <c r="L28" s="17" t="n">
        <f aca="false">-Opex!L53</f>
        <v>-300000</v>
      </c>
      <c r="M28" s="17" t="n">
        <f aca="false">-Opex!M53</f>
        <v>-300000</v>
      </c>
    </row>
    <row r="29" customFormat="false" ht="15" hidden="false" customHeight="false" outlineLevel="0" collapsed="false">
      <c r="A29" s="0" t="s">
        <v>675</v>
      </c>
      <c r="B29" s="0" t="s">
        <v>72</v>
      </c>
      <c r="C29" s="17" t="n">
        <f aca="false">-Opex!C54</f>
        <v>-0</v>
      </c>
      <c r="D29" s="17" t="n">
        <f aca="false">-Opex!D54</f>
        <v>-0</v>
      </c>
      <c r="E29" s="17" t="n">
        <f aca="false">-Opex!E54</f>
        <v>-0</v>
      </c>
      <c r="F29" s="17" t="n">
        <f aca="false">-Opex!F54</f>
        <v>-0</v>
      </c>
      <c r="G29" s="17" t="n">
        <f aca="false">-Opex!G54</f>
        <v>-0</v>
      </c>
      <c r="H29" s="17" t="n">
        <f aca="false">-Opex!H54</f>
        <v>-0</v>
      </c>
      <c r="I29" s="17" t="n">
        <f aca="false">-Opex!I54</f>
        <v>-0</v>
      </c>
      <c r="J29" s="17" t="n">
        <f aca="false">-Opex!J54</f>
        <v>-0</v>
      </c>
      <c r="K29" s="17" t="n">
        <f aca="false">-Opex!K54</f>
        <v>-0</v>
      </c>
      <c r="L29" s="17" t="n">
        <f aca="false">-Opex!L54</f>
        <v>-0</v>
      </c>
      <c r="M29" s="17" t="n">
        <f aca="false">-Opex!M54</f>
        <v>-0</v>
      </c>
    </row>
    <row r="30" customFormat="false" ht="15" hidden="false" customHeight="false" outlineLevel="0" collapsed="false">
      <c r="A30" s="0" t="s">
        <v>676</v>
      </c>
      <c r="B30" s="0" t="s">
        <v>72</v>
      </c>
      <c r="C30" s="17" t="n">
        <f aca="false">-Opex!C55</f>
        <v>-0</v>
      </c>
      <c r="D30" s="17" t="n">
        <f aca="false">-Opex!D55</f>
        <v>-0</v>
      </c>
      <c r="E30" s="17" t="n">
        <f aca="false">-Opex!E55</f>
        <v>-0</v>
      </c>
      <c r="F30" s="17" t="n">
        <f aca="false">-Opex!F55</f>
        <v>-0</v>
      </c>
      <c r="G30" s="17" t="n">
        <f aca="false">-Opex!G55</f>
        <v>-0</v>
      </c>
      <c r="H30" s="17" t="n">
        <f aca="false">-Opex!H55</f>
        <v>-0</v>
      </c>
      <c r="I30" s="17" t="n">
        <f aca="false">-Opex!I55</f>
        <v>-0</v>
      </c>
      <c r="J30" s="17" t="n">
        <f aca="false">-Opex!J55</f>
        <v>-0</v>
      </c>
      <c r="K30" s="17" t="n">
        <f aca="false">-Opex!K55</f>
        <v>-0</v>
      </c>
      <c r="L30" s="17" t="n">
        <f aca="false">-Opex!L55</f>
        <v>-0</v>
      </c>
      <c r="M30" s="17" t="n">
        <f aca="false">-Opex!M55</f>
        <v>-0</v>
      </c>
    </row>
    <row r="31" customFormat="false" ht="15" hidden="false" customHeight="false" outlineLevel="0" collapsed="false">
      <c r="A31" s="0" t="s">
        <v>677</v>
      </c>
      <c r="B31" s="0" t="s">
        <v>72</v>
      </c>
      <c r="C31" s="17" t="n">
        <f aca="false">-Opex!C56</f>
        <v>-0</v>
      </c>
      <c r="D31" s="17" t="n">
        <f aca="false">-Opex!D56</f>
        <v>-0</v>
      </c>
      <c r="E31" s="17" t="n">
        <f aca="false">-Opex!E56</f>
        <v>-0</v>
      </c>
      <c r="F31" s="17" t="n">
        <f aca="false">-Opex!F56</f>
        <v>-0</v>
      </c>
      <c r="G31" s="17" t="n">
        <f aca="false">-Opex!G56</f>
        <v>-0</v>
      </c>
      <c r="H31" s="17" t="n">
        <f aca="false">-Opex!H56</f>
        <v>-0</v>
      </c>
      <c r="I31" s="17" t="n">
        <f aca="false">-Opex!I56</f>
        <v>-0</v>
      </c>
      <c r="J31" s="17" t="n">
        <f aca="false">-Opex!J56</f>
        <v>-0</v>
      </c>
      <c r="K31" s="17" t="n">
        <f aca="false">-Opex!K56</f>
        <v>-0</v>
      </c>
      <c r="L31" s="17" t="n">
        <f aca="false">-Opex!L56</f>
        <v>-0</v>
      </c>
      <c r="M31" s="17" t="n">
        <f aca="false">-Opex!M56</f>
        <v>-0</v>
      </c>
    </row>
    <row r="32" customFormat="false" ht="15" hidden="false" customHeight="false" outlineLevel="0" collapsed="false">
      <c r="A32" s="0" t="s">
        <v>678</v>
      </c>
      <c r="B32" s="0" t="s">
        <v>72</v>
      </c>
      <c r="C32" s="17" t="n">
        <f aca="false">-Opex!C57</f>
        <v>-0</v>
      </c>
      <c r="D32" s="17" t="n">
        <f aca="false">-Opex!D57</f>
        <v>-0</v>
      </c>
      <c r="E32" s="17" t="n">
        <f aca="false">-Opex!E57</f>
        <v>-0</v>
      </c>
      <c r="F32" s="17" t="n">
        <f aca="false">-Opex!F57</f>
        <v>-0</v>
      </c>
      <c r="G32" s="17" t="n">
        <f aca="false">-Opex!G57</f>
        <v>-0</v>
      </c>
      <c r="H32" s="17" t="n">
        <f aca="false">-Opex!H57</f>
        <v>-0</v>
      </c>
      <c r="I32" s="17" t="n">
        <f aca="false">-Opex!I57</f>
        <v>-0</v>
      </c>
      <c r="J32" s="17" t="n">
        <f aca="false">-Opex!J57</f>
        <v>-0</v>
      </c>
      <c r="K32" s="17" t="n">
        <f aca="false">-Opex!K57</f>
        <v>-0</v>
      </c>
      <c r="L32" s="17" t="n">
        <f aca="false">-Opex!L57</f>
        <v>-0</v>
      </c>
      <c r="M32" s="17" t="n">
        <f aca="false">-Opex!M57</f>
        <v>-0</v>
      </c>
    </row>
    <row r="33" customFormat="false" ht="15" hidden="false" customHeight="false" outlineLevel="0" collapsed="false">
      <c r="A33" s="0" t="s">
        <v>679</v>
      </c>
      <c r="B33" s="0" t="s">
        <v>72</v>
      </c>
      <c r="C33" s="17" t="n">
        <f aca="false">-Opex!C58</f>
        <v>-0</v>
      </c>
      <c r="D33" s="17" t="n">
        <f aca="false">-Opex!D58</f>
        <v>-0</v>
      </c>
      <c r="E33" s="17" t="n">
        <f aca="false">-Opex!E58</f>
        <v>-0</v>
      </c>
      <c r="F33" s="17" t="n">
        <f aca="false">-Opex!F58</f>
        <v>-0</v>
      </c>
      <c r="G33" s="17" t="n">
        <f aca="false">-Opex!G58</f>
        <v>-0</v>
      </c>
      <c r="H33" s="17" t="n">
        <f aca="false">-Opex!H58</f>
        <v>-0</v>
      </c>
      <c r="I33" s="17" t="n">
        <f aca="false">-Opex!I58</f>
        <v>-0</v>
      </c>
      <c r="J33" s="17" t="n">
        <f aca="false">-Opex!J58</f>
        <v>-0</v>
      </c>
      <c r="K33" s="17" t="n">
        <f aca="false">-Opex!K58</f>
        <v>-0</v>
      </c>
      <c r="L33" s="17" t="n">
        <f aca="false">-Opex!L58</f>
        <v>-0</v>
      </c>
      <c r="M33" s="17" t="n">
        <f aca="false">-Opex!M58</f>
        <v>-0</v>
      </c>
    </row>
    <row r="34" customFormat="false" ht="15" hidden="false" customHeight="false" outlineLevel="0" collapsed="false">
      <c r="A34" s="0" t="s">
        <v>680</v>
      </c>
      <c r="B34" s="0" t="s">
        <v>72</v>
      </c>
      <c r="C34" s="17" t="n">
        <f aca="false">-Opex!C60</f>
        <v>-380000</v>
      </c>
      <c r="D34" s="17" t="n">
        <f aca="false">-Opex!D60</f>
        <v>-0</v>
      </c>
      <c r="E34" s="17" t="n">
        <f aca="false">-Opex!E60</f>
        <v>-0</v>
      </c>
      <c r="F34" s="17" t="n">
        <f aca="false">-Opex!F60</f>
        <v>-0</v>
      </c>
      <c r="G34" s="17" t="n">
        <f aca="false">-Opex!G60</f>
        <v>-0</v>
      </c>
      <c r="H34" s="17" t="n">
        <f aca="false">-Opex!H60</f>
        <v>-0</v>
      </c>
      <c r="I34" s="17" t="n">
        <f aca="false">-Opex!I60</f>
        <v>-0</v>
      </c>
      <c r="J34" s="17" t="n">
        <f aca="false">-Opex!J60</f>
        <v>-0</v>
      </c>
      <c r="K34" s="17" t="n">
        <f aca="false">-Opex!K60</f>
        <v>-0</v>
      </c>
      <c r="L34" s="17" t="n">
        <f aca="false">-Opex!L60</f>
        <v>-0</v>
      </c>
      <c r="M34" s="17" t="n">
        <f aca="false">-Opex!M60</f>
        <v>-0</v>
      </c>
    </row>
    <row r="35" customFormat="false" ht="15" hidden="false" customHeight="false" outlineLevel="0" collapsed="false">
      <c r="A35" s="2" t="s">
        <v>681</v>
      </c>
      <c r="B35" s="8" t="s">
        <v>72</v>
      </c>
      <c r="C35" s="19" t="n">
        <f aca="false">C10+C11+C12+C13+C14+C15+C16+C17+C18+C19+C20+C21+C22+C23+C24+C25+C26+C27+C28+C29+C30+C31+C32+C33+C34</f>
        <v>-380000</v>
      </c>
      <c r="D35" s="19" t="n">
        <f aca="false">D10+D11+D12+D13+D14+D15+D16+D17+D18+D19+D20+D21+D22+D23+D24+D25+D26+D27+D28+D29+D30+D31+D32+D33+D34</f>
        <v>-418885.842003999</v>
      </c>
      <c r="E35" s="19" t="n">
        <f aca="false">E10+E11+E12+E13+E14+E15+E16+E17+E18+E19+E20+E21+E22+E23+E24+E25+E26+E27+E28+E29+E30+E31+E32+E33+E34</f>
        <v>136864.453774304</v>
      </c>
      <c r="F35" s="19" t="n">
        <f aca="false">F10+F11+F12+F13+F14+F15+F16+F17+F18+F19+F20+F21+F22+F23+F24+F25+F26+F27+F28+F29+F30+F31+F32+F33+F34</f>
        <v>530374.2601424</v>
      </c>
      <c r="G35" s="19" t="n">
        <f aca="false">G10+G11+G12+G13+G14+G15+G16+G17+G18+G19+G20+G21+G22+G23+G24+G25+G26+G27+G28+G29+G30+G31+G32+G33+G34</f>
        <v>506811.904992202</v>
      </c>
      <c r="H35" s="19" t="n">
        <f aca="false">H10+H11+H12+H13+H14+H15+H16+H17+H18+H19+H20+H21+H22+H23+H24+H25+H26+H27+H28+H29+H30+H31+H32+H33+H34</f>
        <v>437358.636886625</v>
      </c>
      <c r="I35" s="19" t="n">
        <f aca="false">I10+I11+I12+I13+I14+I15+I16+I17+I18+I19+I20+I21+I22+I23+I24+I25+I26+I27+I28+I29+I30+I31+I32+I33+I34</f>
        <v>420465.721275139</v>
      </c>
      <c r="J35" s="19" t="n">
        <f aca="false">J10+J11+J12+J13+J14+J15+J16+J17+J18+J19+J20+J21+J22+J23+J24+J25+J26+J27+J28+J29+J30+J31+J32+J33+J34</f>
        <v>401457.041881842</v>
      </c>
      <c r="K35" s="19" t="n">
        <f aca="false">K10+K11+K12+K13+K14+K15+K16+K17+K18+K19+K20+K21+K22+K23+K24+K25+K26+K27+K28+K29+K30+K31+K32+K33+K34</f>
        <v>380332.501307869</v>
      </c>
      <c r="L35" s="19" t="n">
        <f aca="false">L10+L11+L12+L13+L14+L15+L16+L17+L18+L19+L20+L21+L22+L23+L24+L25+L26+L27+L28+L29+L30+L31+L32+L33+L34</f>
        <v>376377.814540953</v>
      </c>
      <c r="M35" s="19" t="n">
        <f aca="false">M10+M11+M12+M13+M14+M15+M16+M17+M18+M19+M20+M21+M22+M23+M24+M25+M26+M27+M28+M29+M30+M31+M32+M33+M34</f>
        <v>372403.354340202</v>
      </c>
    </row>
    <row r="36" customFormat="false" ht="15" hidden="false" customHeight="false" outlineLevel="0" collapsed="false">
      <c r="A36" s="0" t="s">
        <v>534</v>
      </c>
      <c r="B36" s="0" t="s">
        <v>66</v>
      </c>
      <c r="C36" s="20" t="n">
        <f aca="false">IF(C10&lt;&gt;0,C35/C10,0)</f>
        <v>0</v>
      </c>
      <c r="D36" s="20" t="n">
        <f aca="false">IF(D10&lt;&gt;0,D35/D10,0)</f>
        <v>-0.0879506822616116</v>
      </c>
      <c r="E36" s="20" t="n">
        <f aca="false">IF(E10&lt;&gt;0,E35/E10,0)</f>
        <v>0.0181621679713161</v>
      </c>
      <c r="F36" s="20" t="n">
        <f aca="false">IF(F10&lt;&gt;0,F35/F10,0)</f>
        <v>0.0554115674501124</v>
      </c>
      <c r="G36" s="20" t="n">
        <f aca="false">IF(G10&lt;&gt;0,G35/G10,0)</f>
        <v>0.0525662334040457</v>
      </c>
      <c r="H36" s="20" t="n">
        <f aca="false">IF(H10&lt;&gt;0,H35/H10,0)</f>
        <v>0.0442945975709029</v>
      </c>
      <c r="I36" s="20" t="n">
        <f aca="false">IF(I10&lt;&gt;0,I35/I10,0)</f>
        <v>0.0423859456233426</v>
      </c>
      <c r="J36" s="20" t="n">
        <f aca="false">IF(J10&lt;&gt;0,J35/J10,0)</f>
        <v>0.0402526287891617</v>
      </c>
      <c r="K36" s="20" t="n">
        <f aca="false">IF(K10&lt;&gt;0,K35/K10,0)</f>
        <v>0.0379029707456449</v>
      </c>
      <c r="L36" s="20" t="n">
        <f aca="false">IF(L10&lt;&gt;0,L35/L10,0)</f>
        <v>0.0375088567103753</v>
      </c>
      <c r="M36" s="20" t="n">
        <f aca="false">IF(M10&lt;&gt;0,M35/M10,0)</f>
        <v>0.0371127721049294</v>
      </c>
    </row>
    <row r="37" customFormat="false" ht="15" hidden="false" customHeight="false" outlineLevel="0" collapsed="false">
      <c r="A37" s="0" t="s">
        <v>682</v>
      </c>
      <c r="B37" s="0" t="s">
        <v>72</v>
      </c>
      <c r="C37" s="17" t="n">
        <f aca="false">-Capex!C29</f>
        <v>-0</v>
      </c>
      <c r="D37" s="17" t="n">
        <f aca="false">-Capex!D29</f>
        <v>-252000</v>
      </c>
      <c r="E37" s="17" t="n">
        <f aca="false">-Capex!E29</f>
        <v>-254000</v>
      </c>
      <c r="F37" s="17" t="n">
        <f aca="false">-Capex!F29</f>
        <v>-256000</v>
      </c>
      <c r="G37" s="17" t="n">
        <f aca="false">-Capex!G29</f>
        <v>-258000</v>
      </c>
      <c r="H37" s="17" t="n">
        <f aca="false">-Capex!H29</f>
        <v>-260000</v>
      </c>
      <c r="I37" s="17" t="n">
        <f aca="false">-Capex!I29</f>
        <v>-262000</v>
      </c>
      <c r="J37" s="17" t="n">
        <f aca="false">-Capex!J29</f>
        <v>-264000</v>
      </c>
      <c r="K37" s="17" t="n">
        <f aca="false">-Capex!K29</f>
        <v>-266000</v>
      </c>
      <c r="L37" s="17" t="n">
        <f aca="false">-Capex!L29</f>
        <v>-268000</v>
      </c>
      <c r="M37" s="17" t="n">
        <f aca="false">-Capex!M29</f>
        <v>-270000</v>
      </c>
    </row>
    <row r="38" customFormat="false" ht="15" hidden="false" customHeight="false" outlineLevel="0" collapsed="false">
      <c r="A38" s="2" t="s">
        <v>683</v>
      </c>
      <c r="B38" s="8" t="s">
        <v>72</v>
      </c>
      <c r="C38" s="19" t="n">
        <f aca="false">C35+C37</f>
        <v>-380000</v>
      </c>
      <c r="D38" s="19" t="n">
        <f aca="false">D35+D37</f>
        <v>-670885.842004</v>
      </c>
      <c r="E38" s="19" t="n">
        <f aca="false">E35+E37</f>
        <v>-117135.546225696</v>
      </c>
      <c r="F38" s="19" t="n">
        <f aca="false">F35+F37</f>
        <v>274374.2601424</v>
      </c>
      <c r="G38" s="19" t="n">
        <f aca="false">G35+G37</f>
        <v>248811.904992202</v>
      </c>
      <c r="H38" s="19" t="n">
        <f aca="false">H35+H37</f>
        <v>177358.636886625</v>
      </c>
      <c r="I38" s="19" t="n">
        <f aca="false">I35+I37</f>
        <v>158465.721275139</v>
      </c>
      <c r="J38" s="19" t="n">
        <f aca="false">J35+J37</f>
        <v>137457.041881842</v>
      </c>
      <c r="K38" s="19" t="n">
        <f aca="false">K35+K37</f>
        <v>114332.501307869</v>
      </c>
      <c r="L38" s="19" t="n">
        <f aca="false">L35+L37</f>
        <v>108377.814540953</v>
      </c>
      <c r="M38" s="19" t="n">
        <f aca="false">M35+M37</f>
        <v>102403.354340202</v>
      </c>
    </row>
    <row r="39" customFormat="false" ht="15" hidden="false" customHeight="false" outlineLevel="0" collapsed="false">
      <c r="A39" s="0" t="s">
        <v>684</v>
      </c>
      <c r="B39" s="0" t="s">
        <v>72</v>
      </c>
      <c r="C39" s="17" t="n">
        <f aca="false">Capex!C19</f>
        <v>400000</v>
      </c>
      <c r="D39" s="17" t="n">
        <f aca="false">Capex!D19</f>
        <v>0</v>
      </c>
      <c r="E39" s="17" t="n">
        <f aca="false">Capex!E19</f>
        <v>0</v>
      </c>
      <c r="F39" s="17" t="n">
        <f aca="false">Capex!F19</f>
        <v>0</v>
      </c>
      <c r="G39" s="17" t="n">
        <f aca="false">Capex!G19</f>
        <v>0</v>
      </c>
      <c r="H39" s="17" t="n">
        <f aca="false">Capex!H19</f>
        <v>0</v>
      </c>
      <c r="I39" s="17" t="n">
        <f aca="false">Capex!I19</f>
        <v>0</v>
      </c>
      <c r="J39" s="17" t="n">
        <f aca="false">Capex!J19</f>
        <v>0</v>
      </c>
      <c r="K39" s="17" t="n">
        <f aca="false">Capex!K19</f>
        <v>0</v>
      </c>
      <c r="L39" s="17" t="n">
        <f aca="false">Capex!L19</f>
        <v>0</v>
      </c>
      <c r="M39" s="17" t="n">
        <f aca="false">Capex!M19</f>
        <v>0</v>
      </c>
    </row>
    <row r="40" customFormat="false" ht="15" hidden="false" customHeight="false" outlineLevel="0" collapsed="false">
      <c r="A40" s="2" t="s">
        <v>685</v>
      </c>
      <c r="B40" s="8" t="s">
        <v>72</v>
      </c>
      <c r="C40" s="19" t="n">
        <f aca="false">C38+C39</f>
        <v>20000</v>
      </c>
      <c r="D40" s="19" t="n">
        <f aca="false">D38+D39</f>
        <v>-670885.842004</v>
      </c>
      <c r="E40" s="19" t="n">
        <f aca="false">E38+E39</f>
        <v>-117135.546225696</v>
      </c>
      <c r="F40" s="19" t="n">
        <f aca="false">F38+F39</f>
        <v>274374.2601424</v>
      </c>
      <c r="G40" s="19" t="n">
        <f aca="false">G38+G39</f>
        <v>248811.904992202</v>
      </c>
      <c r="H40" s="19" t="n">
        <f aca="false">H38+H39</f>
        <v>177358.636886625</v>
      </c>
      <c r="I40" s="19" t="n">
        <f aca="false">I38+I39</f>
        <v>158465.721275139</v>
      </c>
      <c r="J40" s="19" t="n">
        <f aca="false">J38+J39</f>
        <v>137457.041881842</v>
      </c>
      <c r="K40" s="19" t="n">
        <f aca="false">K38+K39</f>
        <v>114332.501307869</v>
      </c>
      <c r="L40" s="19" t="n">
        <f aca="false">L38+L39</f>
        <v>108377.814540953</v>
      </c>
      <c r="M40" s="19" t="n">
        <f aca="false">M38+M39</f>
        <v>102403.354340202</v>
      </c>
    </row>
    <row r="41" customFormat="false" ht="15" hidden="false" customHeight="false" outlineLevel="0" collapsed="false">
      <c r="A41" s="9" t="s">
        <v>686</v>
      </c>
    </row>
    <row r="42" customFormat="false" ht="15" hidden="false" customHeight="false" outlineLevel="0" collapsed="false">
      <c r="A42" s="0" t="s">
        <v>687</v>
      </c>
      <c r="B42" s="0" t="s">
        <v>72</v>
      </c>
      <c r="C42" s="17" t="n">
        <f aca="false">Capex!C20</f>
        <v>360465.11627907</v>
      </c>
      <c r="D42" s="17" t="n">
        <f aca="false">Capex!D20</f>
        <v>0</v>
      </c>
      <c r="E42" s="17" t="n">
        <f aca="false">Capex!E20</f>
        <v>0</v>
      </c>
      <c r="F42" s="17" t="n">
        <f aca="false">Capex!F20</f>
        <v>0</v>
      </c>
      <c r="G42" s="17" t="n">
        <f aca="false">Capex!G20</f>
        <v>0</v>
      </c>
      <c r="H42" s="17" t="n">
        <f aca="false">Capex!H20</f>
        <v>0</v>
      </c>
      <c r="I42" s="17" t="n">
        <f aca="false">Capex!I20</f>
        <v>0</v>
      </c>
      <c r="J42" s="17" t="n">
        <f aca="false">Capex!J20</f>
        <v>0</v>
      </c>
      <c r="K42" s="17" t="n">
        <f aca="false">Capex!K20</f>
        <v>0</v>
      </c>
      <c r="L42" s="17" t="n">
        <f aca="false">Capex!L20</f>
        <v>0</v>
      </c>
      <c r="M42" s="17" t="n">
        <f aca="false">Capex!M20</f>
        <v>0</v>
      </c>
    </row>
    <row r="43" customFormat="false" ht="15" hidden="false" customHeight="false" outlineLevel="0" collapsed="false">
      <c r="A43" s="0" t="s">
        <v>688</v>
      </c>
      <c r="B43" s="0" t="s">
        <v>72</v>
      </c>
      <c r="C43" s="17" t="n">
        <f aca="false">C40-C42</f>
        <v>-340465.11627907</v>
      </c>
      <c r="D43" s="17" t="n">
        <f aca="false">D40-D42</f>
        <v>-670885.842004</v>
      </c>
      <c r="E43" s="17" t="n">
        <f aca="false">E40-E42</f>
        <v>-117135.546225696</v>
      </c>
      <c r="F43" s="17" t="n">
        <f aca="false">F40-F42</f>
        <v>274374.2601424</v>
      </c>
      <c r="G43" s="17" t="n">
        <f aca="false">G40-G42</f>
        <v>248811.904992202</v>
      </c>
      <c r="H43" s="17" t="n">
        <f aca="false">H40-H42</f>
        <v>177358.636886625</v>
      </c>
      <c r="I43" s="17" t="n">
        <f aca="false">I40-I42</f>
        <v>158465.721275139</v>
      </c>
      <c r="J43" s="17" t="n">
        <f aca="false">J40-J42</f>
        <v>137457.041881842</v>
      </c>
      <c r="K43" s="17" t="n">
        <f aca="false">K40-K42</f>
        <v>114332.501307869</v>
      </c>
      <c r="L43" s="17" t="n">
        <f aca="false">L40-L42</f>
        <v>108377.814540953</v>
      </c>
      <c r="M43" s="17" t="n">
        <f aca="false">M40-M42</f>
        <v>102403.354340202</v>
      </c>
    </row>
    <row r="44" customFormat="false" ht="15" hidden="false" customHeight="false" outlineLevel="0" collapsed="false">
      <c r="A44" s="0" t="s">
        <v>689</v>
      </c>
      <c r="B44" s="0" t="s">
        <v>72</v>
      </c>
      <c r="C44" s="17" t="n">
        <f aca="false">MAX(0,C43)</f>
        <v>0</v>
      </c>
      <c r="D44" s="17" t="n">
        <f aca="false">MAX(0,D43-C45)</f>
        <v>0</v>
      </c>
      <c r="E44" s="17" t="n">
        <f aca="false">MAX(0,E43-D45)</f>
        <v>0</v>
      </c>
      <c r="F44" s="17" t="n">
        <f aca="false">MAX(0,F43-E45)</f>
        <v>0</v>
      </c>
      <c r="G44" s="17" t="n">
        <f aca="false">MAX(0,G43-F45)</f>
        <v>0</v>
      </c>
      <c r="H44" s="17" t="n">
        <f aca="false">MAX(0,H43-G45)</f>
        <v>0</v>
      </c>
      <c r="I44" s="17" t="n">
        <f aca="false">MAX(0,I43-H45)</f>
        <v>0</v>
      </c>
      <c r="J44" s="17" t="n">
        <f aca="false">MAX(0,J43-I45)</f>
        <v>0</v>
      </c>
      <c r="K44" s="17" t="n">
        <f aca="false">MAX(0,K43-J45)</f>
        <v>0</v>
      </c>
      <c r="L44" s="17" t="n">
        <f aca="false">MAX(0,L43-K45)</f>
        <v>90691.3765182647</v>
      </c>
      <c r="M44" s="17" t="n">
        <f aca="false">MAX(0,M43-L45)</f>
        <v>102403.354340202</v>
      </c>
    </row>
    <row r="45" customFormat="false" ht="15" hidden="false" customHeight="false" outlineLevel="0" collapsed="false">
      <c r="A45" s="0" t="s">
        <v>690</v>
      </c>
      <c r="B45" s="0" t="s">
        <v>72</v>
      </c>
      <c r="C45" s="17" t="n">
        <f aca="false">MAX(0,-C43)</f>
        <v>340465.11627907</v>
      </c>
      <c r="D45" s="17" t="n">
        <f aca="false">MAX(0,C45-D43)</f>
        <v>1011350.95828307</v>
      </c>
      <c r="E45" s="17" t="n">
        <f aca="false">MAX(0,D45-E43)</f>
        <v>1128486.50450877</v>
      </c>
      <c r="F45" s="17" t="n">
        <f aca="false">MAX(0,E45-F43)</f>
        <v>854112.244366366</v>
      </c>
      <c r="G45" s="17" t="n">
        <f aca="false">MAX(0,F45-G43)</f>
        <v>605300.339374164</v>
      </c>
      <c r="H45" s="17" t="n">
        <f aca="false">MAX(0,G45-H43)</f>
        <v>427941.702487538</v>
      </c>
      <c r="I45" s="17" t="n">
        <f aca="false">MAX(0,H45-I43)</f>
        <v>269475.9812124</v>
      </c>
      <c r="J45" s="17" t="n">
        <f aca="false">MAX(0,I45-J43)</f>
        <v>132018.939330557</v>
      </c>
      <c r="K45" s="17" t="n">
        <f aca="false">MAX(0,J45-K43)</f>
        <v>17686.438022688</v>
      </c>
      <c r="L45" s="17" t="n">
        <f aca="false">MAX(0,K45-L43)</f>
        <v>0</v>
      </c>
      <c r="M45" s="17" t="n">
        <f aca="false">MAX(0,L45-M43)</f>
        <v>0</v>
      </c>
    </row>
    <row r="46" customFormat="false" ht="15" hidden="false" customHeight="false" outlineLevel="0" collapsed="false">
      <c r="A46" s="0" t="s">
        <v>691</v>
      </c>
      <c r="B46" s="0" t="s">
        <v>72</v>
      </c>
      <c r="C46" s="17" t="n">
        <f aca="false">MIN(C44,tax_vpb_low_bracket_limit)*tax_rate_vpb_low_bracket/100+MAX(0,C44-tax_vpb_low_bracket_limit)*tax_rate_vpb_high_bracket/100</f>
        <v>0</v>
      </c>
      <c r="D46" s="17" t="n">
        <f aca="false">MIN(D44,tax_vpb_low_bracket_limit)*tax_rate_vpb_low_bracket/100+MAX(0,D44-tax_vpb_low_bracket_limit)*tax_rate_vpb_high_bracket/100</f>
        <v>0</v>
      </c>
      <c r="E46" s="17" t="n">
        <f aca="false">MIN(E44,tax_vpb_low_bracket_limit)*tax_rate_vpb_low_bracket/100+MAX(0,E44-tax_vpb_low_bracket_limit)*tax_rate_vpb_high_bracket/100</f>
        <v>0</v>
      </c>
      <c r="F46" s="17" t="n">
        <f aca="false">MIN(F44,tax_vpb_low_bracket_limit)*tax_rate_vpb_low_bracket/100+MAX(0,F44-tax_vpb_low_bracket_limit)*tax_rate_vpb_high_bracket/100</f>
        <v>0</v>
      </c>
      <c r="G46" s="17" t="n">
        <f aca="false">MIN(G44,tax_vpb_low_bracket_limit)*tax_rate_vpb_low_bracket/100+MAX(0,G44-tax_vpb_low_bracket_limit)*tax_rate_vpb_high_bracket/100</f>
        <v>0</v>
      </c>
      <c r="H46" s="17" t="n">
        <f aca="false">MIN(H44,tax_vpb_low_bracket_limit)*tax_rate_vpb_low_bracket/100+MAX(0,H44-tax_vpb_low_bracket_limit)*tax_rate_vpb_high_bracket/100</f>
        <v>0</v>
      </c>
      <c r="I46" s="17" t="n">
        <f aca="false">MIN(I44,tax_vpb_low_bracket_limit)*tax_rate_vpb_low_bracket/100+MAX(0,I44-tax_vpb_low_bracket_limit)*tax_rate_vpb_high_bracket/100</f>
        <v>0</v>
      </c>
      <c r="J46" s="17" t="n">
        <f aca="false">MIN(J44,tax_vpb_low_bracket_limit)*tax_rate_vpb_low_bracket/100+MAX(0,J44-tax_vpb_low_bracket_limit)*tax_rate_vpb_high_bracket/100</f>
        <v>0</v>
      </c>
      <c r="K46" s="17" t="n">
        <f aca="false">MIN(K44,tax_vpb_low_bracket_limit)*tax_rate_vpb_low_bracket/100+MAX(0,K44-tax_vpb_low_bracket_limit)*tax_rate_vpb_high_bracket/100</f>
        <v>0</v>
      </c>
      <c r="L46" s="17" t="n">
        <f aca="false">MIN(L44,tax_vpb_low_bracket_limit)*tax_rate_vpb_low_bracket/100+MAX(0,L44-tax_vpb_low_bracket_limit)*tax_rate_vpb_high_bracket/100</f>
        <v>17231.3615384703</v>
      </c>
      <c r="M46" s="17" t="n">
        <f aca="false">MIN(M44,tax_vpb_low_bracket_limit)*tax_rate_vpb_low_bracket/100+MAX(0,M44-tax_vpb_low_bracket_limit)*tax_rate_vpb_high_bracket/100</f>
        <v>19456.6373246383</v>
      </c>
    </row>
    <row r="47" customFormat="false" ht="15" hidden="false" customHeight="false" outlineLevel="0" collapsed="false">
      <c r="A47" s="2" t="s">
        <v>692</v>
      </c>
      <c r="B47" s="8" t="s">
        <v>72</v>
      </c>
      <c r="C47" s="19" t="n">
        <f aca="false">C40-C46</f>
        <v>20000</v>
      </c>
      <c r="D47" s="19" t="n">
        <f aca="false">D40-D46</f>
        <v>-670885.842004</v>
      </c>
      <c r="E47" s="19" t="n">
        <f aca="false">E40-E46</f>
        <v>-117135.546225696</v>
      </c>
      <c r="F47" s="19" t="n">
        <f aca="false">F40-F46</f>
        <v>274374.2601424</v>
      </c>
      <c r="G47" s="19" t="n">
        <f aca="false">G40-G46</f>
        <v>248811.904992202</v>
      </c>
      <c r="H47" s="19" t="n">
        <f aca="false">H40-H46</f>
        <v>177358.636886625</v>
      </c>
      <c r="I47" s="19" t="n">
        <f aca="false">I40-I46</f>
        <v>158465.721275139</v>
      </c>
      <c r="J47" s="19" t="n">
        <f aca="false">J40-J46</f>
        <v>137457.041881842</v>
      </c>
      <c r="K47" s="19" t="n">
        <f aca="false">K40-K46</f>
        <v>114332.501307869</v>
      </c>
      <c r="L47" s="19" t="n">
        <f aca="false">L40-L46</f>
        <v>91146.4530024824</v>
      </c>
      <c r="M47" s="19" t="n">
        <f aca="false">M40-M46</f>
        <v>82946.7170155633</v>
      </c>
    </row>
    <row r="48" customFormat="false" ht="15" hidden="false" customHeight="false" outlineLevel="0" collapsed="false">
      <c r="A48" s="9" t="s">
        <v>693</v>
      </c>
    </row>
    <row r="49" customFormat="false" ht="15" hidden="false" customHeight="false" outlineLevel="0" collapsed="false">
      <c r="A49" s="0" t="s">
        <v>694</v>
      </c>
      <c r="B49" s="0" t="s">
        <v>72</v>
      </c>
      <c r="C49" s="24" t="n">
        <f aca="false">C10-Revenue!C42</f>
        <v>0</v>
      </c>
      <c r="D49" s="24" t="n">
        <f aca="false">D10-Revenue!D42</f>
        <v>0</v>
      </c>
      <c r="E49" s="24" t="n">
        <f aca="false">E10-Revenue!E42</f>
        <v>0</v>
      </c>
      <c r="F49" s="24" t="n">
        <f aca="false">F10-Revenue!F42</f>
        <v>0</v>
      </c>
      <c r="G49" s="24" t="n">
        <f aca="false">G10-Revenue!G42</f>
        <v>0</v>
      </c>
      <c r="H49" s="24" t="n">
        <f aca="false">H10-Revenue!H42</f>
        <v>0</v>
      </c>
      <c r="I49" s="24" t="n">
        <f aca="false">I10-Revenue!I42</f>
        <v>0</v>
      </c>
      <c r="J49" s="24" t="n">
        <f aca="false">J10-Revenue!J42</f>
        <v>0</v>
      </c>
      <c r="K49" s="24" t="n">
        <f aca="false">K10-Revenue!K42</f>
        <v>0</v>
      </c>
      <c r="L49" s="24" t="n">
        <f aca="false">L10-Revenue!L42</f>
        <v>0</v>
      </c>
      <c r="M49" s="24" t="n">
        <f aca="false">M10-Revenue!M42</f>
        <v>0</v>
      </c>
    </row>
    <row r="50" customFormat="false" ht="15" hidden="false" customHeight="false" outlineLevel="0" collapsed="false">
      <c r="A50" s="0" t="s">
        <v>695</v>
      </c>
      <c r="B50" s="0" t="s">
        <v>72</v>
      </c>
      <c r="C50" s="24" t="n">
        <f aca="false">C11+C12+C13+C14+C15+C16+C17+C18+C19+C20+C21+C22+C23+C24+C25+C26+C27+C28+C29+C30+C31+C32+C33+C34+Opex!C61</f>
        <v>0</v>
      </c>
      <c r="D50" s="24" t="n">
        <f aca="false">D11+D12+D13+D14+D15+D16+D17+D18+D19+D20+D21+D22+D23+D24+D25+D26+D27+D28+D29+D30+D31+D32+D33+D34+Opex!D61</f>
        <v>0</v>
      </c>
      <c r="E50" s="24" t="n">
        <f aca="false">E11+E12+E13+E14+E15+E16+E17+E18+E19+E20+E21+E22+E23+E24+E25+E26+E27+E28+E29+E30+E31+E32+E33+E34+Opex!E61</f>
        <v>0</v>
      </c>
      <c r="F50" s="24" t="n">
        <f aca="false">F11+F12+F13+F14+F15+F16+F17+F18+F19+F20+F21+F22+F23+F24+F25+F26+F27+F28+F29+F30+F31+F32+F33+F34+Opex!F61</f>
        <v>0</v>
      </c>
      <c r="G50" s="24" t="n">
        <f aca="false">G11+G12+G13+G14+G15+G16+G17+G18+G19+G20+G21+G22+G23+G24+G25+G26+G27+G28+G29+G30+G31+G32+G33+G34+Opex!G61</f>
        <v>0</v>
      </c>
      <c r="H50" s="24" t="n">
        <f aca="false">H11+H12+H13+H14+H15+H16+H17+H18+H19+H20+H21+H22+H23+H24+H25+H26+H27+H28+H29+H30+H31+H32+H33+H34+Opex!H61</f>
        <v>0</v>
      </c>
      <c r="I50" s="24" t="n">
        <f aca="false">I11+I12+I13+I14+I15+I16+I17+I18+I19+I20+I21+I22+I23+I24+I25+I26+I27+I28+I29+I30+I31+I32+I33+I34+Opex!I61</f>
        <v>0</v>
      </c>
      <c r="J50" s="24" t="n">
        <f aca="false">J11+J12+J13+J14+J15+J16+J17+J18+J19+J20+J21+J22+J23+J24+J25+J26+J27+J28+J29+J30+J31+J32+J33+J34+Opex!J61</f>
        <v>0</v>
      </c>
      <c r="K50" s="24" t="n">
        <f aca="false">K11+K12+K13+K14+K15+K16+K17+K18+K19+K20+K21+K22+K23+K24+K25+K26+K27+K28+K29+K30+K31+K32+K33+K34+Opex!K61</f>
        <v>0</v>
      </c>
      <c r="L50" s="24" t="n">
        <f aca="false">L11+L12+L13+L14+L15+L16+L17+L18+L19+L20+L21+L22+L23+L24+L25+L26+L27+L28+L29+L30+L31+L32+L33+L34+Opex!L61</f>
        <v>0</v>
      </c>
      <c r="M50" s="24" t="n">
        <f aca="false">M11+M12+M13+M14+M15+M16+M17+M18+M19+M20+M21+M22+M23+M24+M25+M26+M27+M28+M29+M30+M31+M32+M33+M34+Opex!M61</f>
        <v>0</v>
      </c>
    </row>
    <row r="51" customFormat="false" ht="15" hidden="false" customHeight="false" outlineLevel="0" collapsed="false">
      <c r="A51" s="0" t="s">
        <v>696</v>
      </c>
      <c r="B51" s="0" t="s">
        <v>72</v>
      </c>
      <c r="C51" s="24" t="n">
        <f aca="false">C35-(Revenue!C42-Opex!C61)</f>
        <v>0</v>
      </c>
      <c r="D51" s="24" t="n">
        <f aca="false">D35-(Revenue!D42-Opex!D61)</f>
        <v>0</v>
      </c>
      <c r="E51" s="24" t="n">
        <f aca="false">E35-(Revenue!E42-Opex!E61)</f>
        <v>6.40284270048142E-010</v>
      </c>
      <c r="F51" s="24" t="n">
        <f aca="false">F35-(Revenue!F42-Opex!F61)</f>
        <v>0</v>
      </c>
      <c r="G51" s="24" t="n">
        <f aca="false">G35-(Revenue!G42-Opex!G61)</f>
        <v>0</v>
      </c>
      <c r="H51" s="24" t="n">
        <f aca="false">H35-(Revenue!H42-Opex!H61)</f>
        <v>0</v>
      </c>
      <c r="I51" s="24" t="n">
        <f aca="false">I35-(Revenue!I42-Opex!I61)</f>
        <v>0</v>
      </c>
      <c r="J51" s="24" t="n">
        <f aca="false">J35-(Revenue!J42-Opex!J61)</f>
        <v>0</v>
      </c>
      <c r="K51" s="24" t="n">
        <f aca="false">K35-(Revenue!K42-Opex!K61)</f>
        <v>0</v>
      </c>
      <c r="L51" s="24" t="n">
        <f aca="false">L35-(Revenue!L42-Opex!L61)</f>
        <v>0</v>
      </c>
      <c r="M51" s="24" t="n">
        <f aca="false">M35-(Revenue!M42-Opex!M61)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3" style="0" width="13"/>
  </cols>
  <sheetData>
    <row r="1" customFormat="false" ht="17.35" hidden="false" customHeight="false" outlineLevel="0" collapsed="false">
      <c r="A1" s="1" t="s">
        <v>697</v>
      </c>
    </row>
    <row r="2" customFormat="false" ht="15" hidden="false" customHeight="false" outlineLevel="0" collapsed="false">
      <c r="A2" s="5" t="s">
        <v>698</v>
      </c>
    </row>
    <row r="3" customFormat="false" ht="15" hidden="false" customHeight="false" outlineLevel="0" collapsed="false">
      <c r="A3" s="14" t="s">
        <v>544</v>
      </c>
      <c r="B3" s="14" t="s">
        <v>36</v>
      </c>
      <c r="C3" s="15" t="n">
        <f aca="false">2026+C4</f>
        <v>2026</v>
      </c>
      <c r="D3" s="15" t="n">
        <f aca="false">2026+D4</f>
        <v>2027</v>
      </c>
      <c r="E3" s="15" t="n">
        <f aca="false">2026+E4</f>
        <v>2028</v>
      </c>
      <c r="F3" s="15" t="n">
        <f aca="false">2026+F4</f>
        <v>2029</v>
      </c>
      <c r="G3" s="15" t="n">
        <f aca="false">2026+G4</f>
        <v>2030</v>
      </c>
      <c r="H3" s="15" t="n">
        <f aca="false">2026+H4</f>
        <v>2031</v>
      </c>
      <c r="I3" s="15" t="n">
        <f aca="false">2026+I4</f>
        <v>2032</v>
      </c>
      <c r="J3" s="15" t="n">
        <f aca="false">2026+J4</f>
        <v>2033</v>
      </c>
      <c r="K3" s="15" t="n">
        <f aca="false">2026+K4</f>
        <v>2034</v>
      </c>
      <c r="L3" s="15" t="n">
        <f aca="false">2026+L4</f>
        <v>2035</v>
      </c>
      <c r="M3" s="15" t="n">
        <f aca="false">2026+M4</f>
        <v>2036</v>
      </c>
    </row>
    <row r="4" customFormat="false" ht="15" hidden="false" customHeight="false" outlineLevel="0" collapsed="false">
      <c r="A4" s="14" t="s">
        <v>545</v>
      </c>
      <c r="B4" s="16"/>
      <c r="C4" s="15" t="n">
        <v>0</v>
      </c>
      <c r="D4" s="15" t="n">
        <v>1</v>
      </c>
      <c r="E4" s="15" t="n">
        <v>2</v>
      </c>
      <c r="F4" s="15" t="n">
        <v>3</v>
      </c>
      <c r="G4" s="15" t="n">
        <v>4</v>
      </c>
      <c r="H4" s="15" t="n">
        <v>5</v>
      </c>
      <c r="I4" s="15" t="n">
        <v>6</v>
      </c>
      <c r="J4" s="15" t="n">
        <v>7</v>
      </c>
      <c r="K4" s="15" t="n">
        <v>8</v>
      </c>
      <c r="L4" s="15" t="n">
        <v>9</v>
      </c>
      <c r="M4" s="15" t="n">
        <v>10</v>
      </c>
    </row>
    <row r="6" customFormat="false" ht="15" hidden="false" customHeight="false" outlineLevel="0" collapsed="false">
      <c r="A6" s="0" t="s">
        <v>681</v>
      </c>
      <c r="B6" s="0" t="s">
        <v>72</v>
      </c>
      <c r="C6" s="17" t="n">
        <f aca="false">PnL!C35</f>
        <v>-380000</v>
      </c>
      <c r="D6" s="17" t="n">
        <f aca="false">PnL!D35</f>
        <v>-418885.842003999</v>
      </c>
      <c r="E6" s="17" t="n">
        <f aca="false">PnL!E35</f>
        <v>136864.453774304</v>
      </c>
      <c r="F6" s="17" t="n">
        <f aca="false">PnL!F35</f>
        <v>530374.2601424</v>
      </c>
      <c r="G6" s="17" t="n">
        <f aca="false">PnL!G35</f>
        <v>506811.904992202</v>
      </c>
      <c r="H6" s="17" t="n">
        <f aca="false">PnL!H35</f>
        <v>437358.636886625</v>
      </c>
      <c r="I6" s="17" t="n">
        <f aca="false">PnL!I35</f>
        <v>420465.721275139</v>
      </c>
      <c r="J6" s="17" t="n">
        <f aca="false">PnL!J35</f>
        <v>401457.041881842</v>
      </c>
      <c r="K6" s="17" t="n">
        <f aca="false">PnL!K35</f>
        <v>380332.501307869</v>
      </c>
      <c r="L6" s="17" t="n">
        <f aca="false">PnL!L35</f>
        <v>376377.814540953</v>
      </c>
      <c r="M6" s="17" t="n">
        <f aca="false">PnL!M35</f>
        <v>372403.354340202</v>
      </c>
    </row>
    <row r="7" customFormat="false" ht="15" hidden="false" customHeight="false" outlineLevel="0" collapsed="false">
      <c r="A7" s="0" t="s">
        <v>699</v>
      </c>
      <c r="B7" s="0" t="s">
        <v>72</v>
      </c>
      <c r="C7" s="17" t="n">
        <f aca="false">Capex!C19</f>
        <v>400000</v>
      </c>
      <c r="D7" s="17" t="n">
        <f aca="false">Capex!D19</f>
        <v>0</v>
      </c>
      <c r="E7" s="17" t="n">
        <f aca="false">Capex!E19</f>
        <v>0</v>
      </c>
      <c r="F7" s="17" t="n">
        <f aca="false">Capex!F19</f>
        <v>0</v>
      </c>
      <c r="G7" s="17" t="n">
        <f aca="false">Capex!G19</f>
        <v>0</v>
      </c>
      <c r="H7" s="17" t="n">
        <f aca="false">Capex!H19</f>
        <v>0</v>
      </c>
      <c r="I7" s="17" t="n">
        <f aca="false">Capex!I19</f>
        <v>0</v>
      </c>
      <c r="J7" s="17" t="n">
        <f aca="false">Capex!J19</f>
        <v>0</v>
      </c>
      <c r="K7" s="17" t="n">
        <f aca="false">Capex!K19</f>
        <v>0</v>
      </c>
      <c r="L7" s="17" t="n">
        <f aca="false">Capex!L19</f>
        <v>0</v>
      </c>
      <c r="M7" s="17" t="n">
        <f aca="false">Capex!M19</f>
        <v>0</v>
      </c>
    </row>
    <row r="8" customFormat="false" ht="15" hidden="false" customHeight="false" outlineLevel="0" collapsed="false">
      <c r="A8" s="0" t="s">
        <v>700</v>
      </c>
      <c r="B8" s="0" t="s">
        <v>72</v>
      </c>
      <c r="C8" s="17" t="n">
        <f aca="false">-PnL!C46</f>
        <v>-0</v>
      </c>
      <c r="D8" s="17" t="n">
        <f aca="false">-PnL!D46</f>
        <v>-0</v>
      </c>
      <c r="E8" s="17" t="n">
        <f aca="false">-PnL!E46</f>
        <v>-0</v>
      </c>
      <c r="F8" s="17" t="n">
        <f aca="false">-PnL!F46</f>
        <v>-0</v>
      </c>
      <c r="G8" s="17" t="n">
        <f aca="false">-PnL!G46</f>
        <v>-0</v>
      </c>
      <c r="H8" s="17" t="n">
        <f aca="false">-PnL!H46</f>
        <v>-0</v>
      </c>
      <c r="I8" s="17" t="n">
        <f aca="false">-PnL!I46</f>
        <v>-0</v>
      </c>
      <c r="J8" s="17" t="n">
        <f aca="false">-PnL!J46</f>
        <v>-0</v>
      </c>
      <c r="K8" s="17" t="n">
        <f aca="false">-PnL!K46</f>
        <v>-0</v>
      </c>
      <c r="L8" s="17" t="n">
        <f aca="false">-PnL!L46</f>
        <v>-17231.3615384703</v>
      </c>
      <c r="M8" s="17" t="n">
        <f aca="false">-PnL!M46</f>
        <v>-19456.6373246383</v>
      </c>
    </row>
    <row r="9" customFormat="false" ht="15" hidden="false" customHeight="false" outlineLevel="0" collapsed="false">
      <c r="A9" s="9" t="s">
        <v>701</v>
      </c>
    </row>
    <row r="10" customFormat="false" ht="15" hidden="false" customHeight="false" outlineLevel="0" collapsed="false">
      <c r="A10" s="0" t="s">
        <v>702</v>
      </c>
      <c r="B10" s="0" t="s">
        <v>72</v>
      </c>
      <c r="C10" s="17" t="n">
        <f aca="false">Revenue!C42*working_capital_receivable_days/365</f>
        <v>0</v>
      </c>
      <c r="D10" s="17" t="n">
        <f aca="false">Revenue!D42*working_capital_receivable_days/365</f>
        <v>782915.434652055</v>
      </c>
      <c r="E10" s="17" t="n">
        <f aca="false">Revenue!E42*working_capital_receivable_days/365</f>
        <v>1238743.43687329</v>
      </c>
      <c r="F10" s="17" t="n">
        <f aca="false">Revenue!F42*working_capital_receivable_days/365</f>
        <v>1573404.50556493</v>
      </c>
      <c r="G10" s="17" t="n">
        <f aca="false">Revenue!G42*working_capital_receivable_days/365</f>
        <v>1584887.11537973</v>
      </c>
      <c r="H10" s="17" t="n">
        <f aca="false">Revenue!H42*working_capital_receivable_days/365</f>
        <v>1623100.20611507</v>
      </c>
      <c r="I10" s="17" t="n">
        <f aca="false">Revenue!I42*working_capital_receivable_days/365</f>
        <v>1630673.84237589</v>
      </c>
      <c r="J10" s="17" t="n">
        <f aca="false">Revenue!J42*working_capital_receivable_days/365</f>
        <v>1639469.03287233</v>
      </c>
      <c r="K10" s="17" t="n">
        <f aca="false">Revenue!K42*working_capital_receivable_days/365</f>
        <v>1649485.77760438</v>
      </c>
      <c r="L10" s="17" t="n">
        <f aca="false">Revenue!L42*working_capital_receivable_days/365</f>
        <v>1649485.77760438</v>
      </c>
      <c r="M10" s="17" t="n">
        <f aca="false">Revenue!M42*working_capital_receivable_days/365</f>
        <v>1649485.77760438</v>
      </c>
    </row>
    <row r="11" customFormat="false" ht="15" hidden="false" customHeight="false" outlineLevel="0" collapsed="false">
      <c r="A11" s="0" t="s">
        <v>703</v>
      </c>
      <c r="B11" s="0" t="s">
        <v>72</v>
      </c>
      <c r="C11" s="17" t="n">
        <f aca="false">Opex!C34*working_capital_inventory_days/365</f>
        <v>0</v>
      </c>
      <c r="D11" s="17" t="n">
        <f aca="false">Opex!D34*working_capital_inventory_days/365</f>
        <v>83592.5952054795</v>
      </c>
      <c r="E11" s="17" t="n">
        <f aca="false">Opex!E34*working_capital_inventory_days/365</f>
        <v>132446.030164384</v>
      </c>
      <c r="F11" s="17" t="n">
        <f aca="false">Opex!F34*working_capital_inventory_days/365</f>
        <v>168797.232876712</v>
      </c>
      <c r="G11" s="17" t="n">
        <f aca="false">Opex!G34*working_capital_inventory_days/365</f>
        <v>171241.297260274</v>
      </c>
      <c r="H11" s="17" t="n">
        <f aca="false">Opex!H34*working_capital_inventory_days/365</f>
        <v>179374.923287671</v>
      </c>
      <c r="I11" s="17" t="n">
        <f aca="false">Opex!I34*working_capital_inventory_days/365</f>
        <v>180986.965753425</v>
      </c>
      <c r="J11" s="17" t="n">
        <f aca="false">Opex!J34*working_capital_inventory_days/365</f>
        <v>182859.015068493</v>
      </c>
      <c r="K11" s="17" t="n">
        <f aca="false">Opex!K34*working_capital_inventory_days/365</f>
        <v>184991.071232877</v>
      </c>
      <c r="L11" s="17" t="n">
        <f aca="false">Opex!L34*working_capital_inventory_days/365</f>
        <v>184991.071232877</v>
      </c>
      <c r="M11" s="17" t="n">
        <f aca="false">Opex!M34*working_capital_inventory_days/365</f>
        <v>184991.071232877</v>
      </c>
    </row>
    <row r="12" customFormat="false" ht="15" hidden="false" customHeight="false" outlineLevel="0" collapsed="false">
      <c r="A12" s="0" t="s">
        <v>704</v>
      </c>
      <c r="B12" s="0" t="s">
        <v>72</v>
      </c>
      <c r="C12" s="17" t="n">
        <f aca="false">Opex!C34*working_capital_payable_days/365</f>
        <v>0</v>
      </c>
      <c r="D12" s="17" t="n">
        <f aca="false">Opex!D34*working_capital_payable_days/365</f>
        <v>250777.785616438</v>
      </c>
      <c r="E12" s="17" t="n">
        <f aca="false">Opex!E34*working_capital_payable_days/365</f>
        <v>397338.090493151</v>
      </c>
      <c r="F12" s="17" t="n">
        <f aca="false">Opex!F34*working_capital_payable_days/365</f>
        <v>506391.698630137</v>
      </c>
      <c r="G12" s="17" t="n">
        <f aca="false">Opex!G34*working_capital_payable_days/365</f>
        <v>513723.891780822</v>
      </c>
      <c r="H12" s="17" t="n">
        <f aca="false">Opex!H34*working_capital_payable_days/365</f>
        <v>538124.769863014</v>
      </c>
      <c r="I12" s="17" t="n">
        <f aca="false">Opex!I34*working_capital_payable_days/365</f>
        <v>542960.897260274</v>
      </c>
      <c r="J12" s="17" t="n">
        <f aca="false">Opex!J34*working_capital_payable_days/365</f>
        <v>548577.04520548</v>
      </c>
      <c r="K12" s="17" t="n">
        <f aca="false">Opex!K34*working_capital_payable_days/365</f>
        <v>554973.21369863</v>
      </c>
      <c r="L12" s="17" t="n">
        <f aca="false">Opex!L34*working_capital_payable_days/365</f>
        <v>554973.21369863</v>
      </c>
      <c r="M12" s="17" t="n">
        <f aca="false">Opex!M34*working_capital_payable_days/365</f>
        <v>554973.21369863</v>
      </c>
    </row>
    <row r="13" customFormat="false" ht="15" hidden="false" customHeight="false" outlineLevel="0" collapsed="false">
      <c r="A13" s="2" t="s">
        <v>705</v>
      </c>
      <c r="B13" s="8" t="s">
        <v>72</v>
      </c>
      <c r="C13" s="19" t="n">
        <f aca="false">C10+C11-C12</f>
        <v>0</v>
      </c>
      <c r="D13" s="19" t="n">
        <f aca="false">D10+D11-D12</f>
        <v>615730.244241096</v>
      </c>
      <c r="E13" s="19" t="n">
        <f aca="false">E10+E11-E12</f>
        <v>973851.376544526</v>
      </c>
      <c r="F13" s="19" t="n">
        <f aca="false">F10+F11-F12</f>
        <v>1235810.03981151</v>
      </c>
      <c r="G13" s="19" t="n">
        <f aca="false">G10+G11-G12</f>
        <v>1242404.52085918</v>
      </c>
      <c r="H13" s="19" t="n">
        <f aca="false">H10+H11-H12</f>
        <v>1264350.35953973</v>
      </c>
      <c r="I13" s="19" t="n">
        <f aca="false">I10+I11-I12</f>
        <v>1268699.91086904</v>
      </c>
      <c r="J13" s="19" t="n">
        <f aca="false">J10+J11-J12</f>
        <v>1273751.00273534</v>
      </c>
      <c r="K13" s="19" t="n">
        <f aca="false">K10+K11-K12</f>
        <v>1279503.63513863</v>
      </c>
      <c r="L13" s="19" t="n">
        <f aca="false">L10+L11-L12</f>
        <v>1279503.63513863</v>
      </c>
      <c r="M13" s="19" t="n">
        <f aca="false">M10+M11-M12</f>
        <v>1279503.63513863</v>
      </c>
    </row>
    <row r="14" customFormat="false" ht="15" hidden="false" customHeight="false" outlineLevel="0" collapsed="false">
      <c r="A14" s="0" t="s">
        <v>706</v>
      </c>
      <c r="B14" s="0" t="s">
        <v>72</v>
      </c>
      <c r="C14" s="17" t="n">
        <f aca="false">-C13</f>
        <v>-0</v>
      </c>
      <c r="D14" s="17" t="n">
        <f aca="false">-(D13-C13)</f>
        <v>-615730.244241096</v>
      </c>
      <c r="E14" s="17" t="n">
        <f aca="false">-(E13-D13)</f>
        <v>-358121.13230343</v>
      </c>
      <c r="F14" s="17" t="n">
        <f aca="false">-(F13-E13)</f>
        <v>-261958.663266981</v>
      </c>
      <c r="G14" s="17" t="n">
        <f aca="false">-(G13-F13)</f>
        <v>-6594.48104767129</v>
      </c>
      <c r="H14" s="17" t="n">
        <f aca="false">-(H13-G13)</f>
        <v>-21945.8386805479</v>
      </c>
      <c r="I14" s="17" t="n">
        <f aca="false">-(I13-H13)</f>
        <v>-4349.55132931541</v>
      </c>
      <c r="J14" s="17" t="n">
        <f aca="false">-(J13-I13)</f>
        <v>-5051.09186630091</v>
      </c>
      <c r="K14" s="17" t="n">
        <f aca="false">-(K13-J13)</f>
        <v>-5752.63240328804</v>
      </c>
      <c r="L14" s="17" t="n">
        <f aca="false">-(L13-K13)</f>
        <v>-0</v>
      </c>
      <c r="M14" s="17" t="n">
        <f aca="false">-(M13-L13)</f>
        <v>-0</v>
      </c>
    </row>
    <row r="15" customFormat="false" ht="15" hidden="false" customHeight="false" outlineLevel="0" collapsed="false">
      <c r="A15" s="9" t="s">
        <v>707</v>
      </c>
    </row>
    <row r="16" customFormat="false" ht="15" hidden="false" customHeight="false" outlineLevel="0" collapsed="false">
      <c r="A16" s="0" t="s">
        <v>708</v>
      </c>
      <c r="B16" s="0" t="s">
        <v>72</v>
      </c>
      <c r="C16" s="17" t="n">
        <f aca="false">-Capex!C14</f>
        <v>-5500000</v>
      </c>
      <c r="D16" s="17" t="n">
        <f aca="false">-Capex!D14</f>
        <v>-0</v>
      </c>
      <c r="E16" s="17" t="n">
        <f aca="false">-Capex!E14</f>
        <v>-0</v>
      </c>
      <c r="F16" s="17" t="n">
        <f aca="false">-Capex!F14</f>
        <v>-0</v>
      </c>
      <c r="G16" s="17" t="n">
        <f aca="false">-Capex!G14</f>
        <v>-0</v>
      </c>
      <c r="H16" s="17" t="n">
        <f aca="false">-Capex!H14</f>
        <v>-0</v>
      </c>
      <c r="I16" s="17" t="n">
        <f aca="false">-Capex!I14</f>
        <v>-0</v>
      </c>
      <c r="J16" s="17" t="n">
        <f aca="false">-Capex!J14</f>
        <v>-0</v>
      </c>
      <c r="K16" s="17" t="n">
        <f aca="false">-Capex!K14</f>
        <v>-0</v>
      </c>
      <c r="L16" s="17" t="n">
        <f aca="false">-Capex!L14</f>
        <v>-0</v>
      </c>
      <c r="M16" s="17" t="n">
        <f aca="false">-Capex!M14</f>
        <v>-0</v>
      </c>
    </row>
    <row r="17" customFormat="false" ht="15" hidden="false" customHeight="false" outlineLevel="0" collapsed="false">
      <c r="A17" s="0" t="s">
        <v>709</v>
      </c>
      <c r="B17" s="0" t="s">
        <v>72</v>
      </c>
      <c r="C17" s="17" t="n">
        <f aca="false">-Capex!C23</f>
        <v>-0</v>
      </c>
      <c r="D17" s="17" t="n">
        <f aca="false">-Capex!D23</f>
        <v>-50000</v>
      </c>
      <c r="E17" s="17" t="n">
        <f aca="false">-Capex!E23</f>
        <v>-50000</v>
      </c>
      <c r="F17" s="17" t="n">
        <f aca="false">-Capex!F23</f>
        <v>-50000</v>
      </c>
      <c r="G17" s="17" t="n">
        <f aca="false">-Capex!G23</f>
        <v>-50000</v>
      </c>
      <c r="H17" s="17" t="n">
        <f aca="false">-Capex!H23</f>
        <v>-50000</v>
      </c>
      <c r="I17" s="17" t="n">
        <f aca="false">-Capex!I23</f>
        <v>-50000</v>
      </c>
      <c r="J17" s="17" t="n">
        <f aca="false">-Capex!J23</f>
        <v>-50000</v>
      </c>
      <c r="K17" s="17" t="n">
        <f aca="false">-Capex!K23</f>
        <v>-50000</v>
      </c>
      <c r="L17" s="17" t="n">
        <f aca="false">-Capex!L23</f>
        <v>-50000</v>
      </c>
      <c r="M17" s="17" t="n">
        <f aca="false">-Capex!M23</f>
        <v>-50000</v>
      </c>
    </row>
    <row r="18" customFormat="false" ht="15" hidden="false" customHeight="false" outlineLevel="0" collapsed="false">
      <c r="A18" s="0" t="s">
        <v>710</v>
      </c>
      <c r="B18" s="0" t="s">
        <v>72</v>
      </c>
      <c r="C18" s="17" t="n">
        <f aca="false">Capex!C31</f>
        <v>0</v>
      </c>
      <c r="D18" s="17" t="n">
        <f aca="false">Capex!D31</f>
        <v>0</v>
      </c>
      <c r="E18" s="17" t="n">
        <f aca="false">Capex!E31</f>
        <v>0</v>
      </c>
      <c r="F18" s="17" t="n">
        <f aca="false">Capex!F31</f>
        <v>0</v>
      </c>
      <c r="G18" s="17" t="n">
        <f aca="false">Capex!G31</f>
        <v>0</v>
      </c>
      <c r="H18" s="17" t="n">
        <f aca="false">Capex!H31</f>
        <v>0</v>
      </c>
      <c r="I18" s="17" t="n">
        <f aca="false">Capex!I31</f>
        <v>0</v>
      </c>
      <c r="J18" s="17" t="n">
        <f aca="false">Capex!J31</f>
        <v>0</v>
      </c>
      <c r="K18" s="17" t="n">
        <f aca="false">Capex!K31</f>
        <v>0</v>
      </c>
      <c r="L18" s="17" t="n">
        <f aca="false">Capex!L31</f>
        <v>0</v>
      </c>
      <c r="M18" s="17" t="n">
        <f aca="false">Capex!M31</f>
        <v>1250000</v>
      </c>
    </row>
    <row r="19" customFormat="false" ht="15" hidden="false" customHeight="false" outlineLevel="0" collapsed="false">
      <c r="A19" s="2" t="s">
        <v>711</v>
      </c>
      <c r="B19" s="8" t="s">
        <v>72</v>
      </c>
      <c r="C19" s="19" t="n">
        <f aca="false">C6+C7+C8+C14+C16+C17+C18</f>
        <v>-5480000</v>
      </c>
      <c r="D19" s="19" t="n">
        <f aca="false">D6+D7+D8+D14+D16+D17+D18</f>
        <v>-1084616.0862451</v>
      </c>
      <c r="E19" s="19" t="n">
        <f aca="false">E6+E7+E8+E14+E16+E17+E18</f>
        <v>-271256.678529126</v>
      </c>
      <c r="F19" s="19" t="n">
        <f aca="false">F6+F7+F8+F14+F16+F17+F18</f>
        <v>218415.596875419</v>
      </c>
      <c r="G19" s="19" t="n">
        <f aca="false">G6+G7+G8+G14+G16+G17+G18</f>
        <v>450217.423944531</v>
      </c>
      <c r="H19" s="19" t="n">
        <f aca="false">H6+H7+H8+H14+H16+H17+H18</f>
        <v>365412.798206077</v>
      </c>
      <c r="I19" s="19" t="n">
        <f aca="false">I6+I7+I8+I14+I16+I17+I18</f>
        <v>366116.169945823</v>
      </c>
      <c r="J19" s="19" t="n">
        <f aca="false">J6+J7+J8+J14+J16+J17+J18</f>
        <v>346405.950015542</v>
      </c>
      <c r="K19" s="19" t="n">
        <f aca="false">K6+K7+K8+K14+K16+K17+K18</f>
        <v>324579.868904581</v>
      </c>
      <c r="L19" s="19" t="n">
        <f aca="false">L6+L7+L8+L14+L16+L17+L18</f>
        <v>309146.453002482</v>
      </c>
      <c r="M19" s="19" t="n">
        <f aca="false">M6+M7+M8+M14+M16+M17+M18</f>
        <v>1552946.71701556</v>
      </c>
    </row>
    <row r="20" customFormat="false" ht="15" hidden="false" customHeight="false" outlineLevel="0" collapsed="false">
      <c r="A20" s="0" t="s">
        <v>712</v>
      </c>
      <c r="B20" s="0" t="s">
        <v>72</v>
      </c>
      <c r="C20" s="17" t="n">
        <f aca="false">SUM($C$19:C19)</f>
        <v>-5480000</v>
      </c>
      <c r="D20" s="17" t="n">
        <f aca="false">SUM($C$19:D19)</f>
        <v>-6564616.0862451</v>
      </c>
      <c r="E20" s="17" t="n">
        <f aca="false">SUM($C$19:E19)</f>
        <v>-6835872.76477422</v>
      </c>
      <c r="F20" s="17" t="n">
        <f aca="false">SUM($C$19:F19)</f>
        <v>-6617457.1678988</v>
      </c>
      <c r="G20" s="17" t="n">
        <f aca="false">SUM($C$19:G19)</f>
        <v>-6167239.74395427</v>
      </c>
      <c r="H20" s="17" t="n">
        <f aca="false">SUM($C$19:H19)</f>
        <v>-5801826.9457482</v>
      </c>
      <c r="I20" s="17" t="n">
        <f aca="false">SUM($C$19:I19)</f>
        <v>-5435710.77580237</v>
      </c>
      <c r="J20" s="17" t="n">
        <f aca="false">SUM($C$19:J19)</f>
        <v>-5089304.82578683</v>
      </c>
      <c r="K20" s="17" t="n">
        <f aca="false">SUM($C$19:K19)</f>
        <v>-4764724.95688225</v>
      </c>
      <c r="L20" s="17" t="n">
        <f aca="false">SUM($C$19:L19)</f>
        <v>-4455578.50387977</v>
      </c>
      <c r="M20" s="17" t="n">
        <f aca="false">SUM($C$19:M19)</f>
        <v>-2902631.7868642</v>
      </c>
    </row>
    <row r="21" customFormat="false" ht="15" hidden="false" customHeight="false" outlineLevel="0" collapsed="false">
      <c r="A21" s="0" t="s">
        <v>713</v>
      </c>
      <c r="B21" s="0" t="s">
        <v>61</v>
      </c>
      <c r="C21" s="23" t="n">
        <f aca="false">1/(1+discount_rate_real/100)^C$4</f>
        <v>1</v>
      </c>
      <c r="D21" s="23" t="n">
        <f aca="false">1/(1+discount_rate_real/100)^D$4</f>
        <v>0.925925925925926</v>
      </c>
      <c r="E21" s="23" t="n">
        <f aca="false">1/(1+discount_rate_real/100)^E$4</f>
        <v>0.857338820301783</v>
      </c>
      <c r="F21" s="23" t="n">
        <f aca="false">1/(1+discount_rate_real/100)^F$4</f>
        <v>0.79383224102017</v>
      </c>
      <c r="G21" s="23" t="n">
        <f aca="false">1/(1+discount_rate_real/100)^G$4</f>
        <v>0.735029852796453</v>
      </c>
      <c r="H21" s="23" t="n">
        <f aca="false">1/(1+discount_rate_real/100)^H$4</f>
        <v>0.680583197033753</v>
      </c>
      <c r="I21" s="23" t="n">
        <f aca="false">1/(1+discount_rate_real/100)^I$4</f>
        <v>0.630169626883105</v>
      </c>
      <c r="J21" s="23" t="n">
        <f aca="false">1/(1+discount_rate_real/100)^J$4</f>
        <v>0.583490395262134</v>
      </c>
      <c r="K21" s="23" t="n">
        <f aca="false">1/(1+discount_rate_real/100)^K$4</f>
        <v>0.540268884501976</v>
      </c>
      <c r="L21" s="23" t="n">
        <f aca="false">1/(1+discount_rate_real/100)^L$4</f>
        <v>0.500248967131459</v>
      </c>
      <c r="M21" s="23" t="n">
        <f aca="false">1/(1+discount_rate_real/100)^M$4</f>
        <v>0.463193488084684</v>
      </c>
    </row>
    <row r="22" customFormat="false" ht="15" hidden="false" customHeight="false" outlineLevel="0" collapsed="false">
      <c r="A22" s="0" t="s">
        <v>714</v>
      </c>
      <c r="B22" s="0" t="s">
        <v>72</v>
      </c>
      <c r="C22" s="17" t="n">
        <f aca="false">C19*C21</f>
        <v>-5480000</v>
      </c>
      <c r="D22" s="17" t="n">
        <f aca="false">D19*D21</f>
        <v>-1004274.15393064</v>
      </c>
      <c r="E22" s="17" t="n">
        <f aca="false">E19*E21</f>
        <v>-232558.880769141</v>
      </c>
      <c r="F22" s="17" t="n">
        <f aca="false">F19*F21</f>
        <v>173385.342741372</v>
      </c>
      <c r="G22" s="17" t="n">
        <f aca="false">G19*G21</f>
        <v>330923.246848347</v>
      </c>
      <c r="H22" s="17" t="n">
        <f aca="false">H19*H21</f>
        <v>248693.810440142</v>
      </c>
      <c r="I22" s="17" t="n">
        <f aca="false">I19*I21</f>
        <v>230715.290210631</v>
      </c>
      <c r="J22" s="17" t="n">
        <f aca="false">J19*J21</f>
        <v>202124.544695723</v>
      </c>
      <c r="K22" s="17" t="n">
        <f aca="false">K19*K21</f>
        <v>175360.403704876</v>
      </c>
      <c r="L22" s="17" t="n">
        <f aca="false">L19*L21</f>
        <v>154650.193806846</v>
      </c>
      <c r="M22" s="17" t="n">
        <f aca="false">M19*M21</f>
        <v>719314.806664098</v>
      </c>
    </row>
    <row r="23" customFormat="false" ht="15" hidden="false" customHeight="false" outlineLevel="0" collapsed="false">
      <c r="A23" s="0" t="s">
        <v>715</v>
      </c>
      <c r="B23" s="0" t="s">
        <v>72</v>
      </c>
      <c r="C23" s="17" t="n">
        <f aca="false">SUM($C$22:C22)</f>
        <v>-5480000</v>
      </c>
      <c r="D23" s="17" t="n">
        <f aca="false">SUM($C$22:D22)</f>
        <v>-6484274.15393064</v>
      </c>
      <c r="E23" s="17" t="n">
        <f aca="false">SUM($C$22:E22)</f>
        <v>-6716833.03469979</v>
      </c>
      <c r="F23" s="17" t="n">
        <f aca="false">SUM($C$22:F22)</f>
        <v>-6543447.69195841</v>
      </c>
      <c r="G23" s="17" t="n">
        <f aca="false">SUM($C$22:G22)</f>
        <v>-6212524.44511007</v>
      </c>
      <c r="H23" s="17" t="n">
        <f aca="false">SUM($C$22:H22)</f>
        <v>-5963830.63466993</v>
      </c>
      <c r="I23" s="17" t="n">
        <f aca="false">SUM($C$22:I22)</f>
        <v>-5733115.34445929</v>
      </c>
      <c r="J23" s="17" t="n">
        <f aca="false">SUM($C$22:J22)</f>
        <v>-5530990.79976357</v>
      </c>
      <c r="K23" s="17" t="n">
        <f aca="false">SUM($C$22:K22)</f>
        <v>-5355630.3960587</v>
      </c>
      <c r="L23" s="17" t="n">
        <f aca="false">SUM($C$22:L22)</f>
        <v>-5200980.20225185</v>
      </c>
      <c r="M23" s="17" t="n">
        <f aca="false">SUM($C$22:M22)</f>
        <v>-4481665.39558775</v>
      </c>
    </row>
    <row r="24" customFormat="false" ht="15" hidden="false" customHeight="false" outlineLevel="0" collapsed="false">
      <c r="A24" s="9" t="s">
        <v>716</v>
      </c>
    </row>
    <row r="25" customFormat="false" ht="15" hidden="false" customHeight="false" outlineLevel="0" collapsed="false">
      <c r="A25" s="0" t="s">
        <v>717</v>
      </c>
      <c r="B25" s="0" t="s">
        <v>72</v>
      </c>
      <c r="C25" s="17" t="n">
        <f aca="false">C19-C18</f>
        <v>-5480000</v>
      </c>
      <c r="D25" s="17" t="n">
        <f aca="false">D19-D18</f>
        <v>-1084616.0862451</v>
      </c>
      <c r="E25" s="17" t="n">
        <f aca="false">E19-E18</f>
        <v>-271256.678529126</v>
      </c>
      <c r="F25" s="17" t="n">
        <f aca="false">F19-F18</f>
        <v>218415.596875419</v>
      </c>
      <c r="G25" s="17" t="n">
        <f aca="false">G19-G18</f>
        <v>450217.423944531</v>
      </c>
      <c r="H25" s="17" t="n">
        <f aca="false">H19-H18</f>
        <v>365412.798206077</v>
      </c>
      <c r="I25" s="17" t="n">
        <f aca="false">I19-I18</f>
        <v>366116.169945823</v>
      </c>
      <c r="J25" s="17" t="n">
        <f aca="false">J19-J18</f>
        <v>346405.950015542</v>
      </c>
      <c r="K25" s="17" t="n">
        <f aca="false">K19-K18</f>
        <v>324579.868904581</v>
      </c>
      <c r="L25" s="17" t="n">
        <f aca="false">L19-L18</f>
        <v>309146.453002482</v>
      </c>
      <c r="M25" s="17" t="n">
        <f aca="false">M19-M18</f>
        <v>302946.717015563</v>
      </c>
    </row>
    <row r="26" customFormat="false" ht="15" hidden="false" customHeight="false" outlineLevel="0" collapsed="false">
      <c r="A26" s="0" t="s">
        <v>718</v>
      </c>
      <c r="B26" s="0" t="s">
        <v>72</v>
      </c>
      <c r="C26" s="17" t="n">
        <f aca="false">SUM($C$25:C25)</f>
        <v>-5480000</v>
      </c>
      <c r="D26" s="17" t="n">
        <f aca="false">SUM($C$25:D25)</f>
        <v>-6564616.0862451</v>
      </c>
      <c r="E26" s="17" t="n">
        <f aca="false">SUM($C$25:E25)</f>
        <v>-6835872.76477422</v>
      </c>
      <c r="F26" s="17" t="n">
        <f aca="false">SUM($C$25:F25)</f>
        <v>-6617457.1678988</v>
      </c>
      <c r="G26" s="17" t="n">
        <f aca="false">SUM($C$25:G25)</f>
        <v>-6167239.74395427</v>
      </c>
      <c r="H26" s="17" t="n">
        <f aca="false">SUM($C$25:H25)</f>
        <v>-5801826.9457482</v>
      </c>
      <c r="I26" s="17" t="n">
        <f aca="false">SUM($C$25:I25)</f>
        <v>-5435710.77580237</v>
      </c>
      <c r="J26" s="17" t="n">
        <f aca="false">SUM($C$25:J25)</f>
        <v>-5089304.82578683</v>
      </c>
      <c r="K26" s="17" t="n">
        <f aca="false">SUM($C$25:K25)</f>
        <v>-4764724.95688225</v>
      </c>
      <c r="L26" s="17" t="n">
        <f aca="false">SUM($C$25:L25)</f>
        <v>-4455578.50387977</v>
      </c>
      <c r="M26" s="17" t="n">
        <f aca="false">SUM($C$25:M25)</f>
        <v>-4152631.7868642</v>
      </c>
    </row>
    <row r="27" customFormat="false" ht="15" hidden="false" customHeight="false" outlineLevel="0" collapsed="false">
      <c r="A27" s="0" t="s">
        <v>719</v>
      </c>
      <c r="B27" s="0" t="s">
        <v>72</v>
      </c>
      <c r="C27" s="17" t="n">
        <f aca="false">SUMPRODUCT($C$25:C25,$C$21:C21)</f>
        <v>-5480000</v>
      </c>
      <c r="D27" s="17" t="n">
        <f aca="false">SUMPRODUCT($C$25:D25,$C$21:D21)</f>
        <v>-6484274.15393064</v>
      </c>
      <c r="E27" s="17" t="n">
        <f aca="false">SUMPRODUCT($C$25:E25,$C$21:E21)</f>
        <v>-6716833.03469979</v>
      </c>
      <c r="F27" s="17" t="n">
        <f aca="false">SUMPRODUCT($C$25:F25,$C$21:F21)</f>
        <v>-6543447.69195841</v>
      </c>
      <c r="G27" s="17" t="n">
        <f aca="false">SUMPRODUCT($C$25:G25,$C$21:G21)</f>
        <v>-6212524.44511007</v>
      </c>
      <c r="H27" s="17" t="n">
        <f aca="false">SUMPRODUCT($C$25:H25,$C$21:H21)</f>
        <v>-5963830.63466992</v>
      </c>
      <c r="I27" s="17" t="n">
        <f aca="false">SUMPRODUCT($C$25:I25,$C$21:I21)</f>
        <v>-5733115.34445929</v>
      </c>
      <c r="J27" s="17" t="n">
        <f aca="false">SUMPRODUCT($C$25:J25,$C$21:J21)</f>
        <v>-5530990.79976357</v>
      </c>
      <c r="K27" s="17" t="n">
        <f aca="false">SUMPRODUCT($C$25:K25,$C$21:K21)</f>
        <v>-5355630.3960587</v>
      </c>
      <c r="L27" s="17" t="n">
        <f aca="false">SUMPRODUCT($C$25:L25,$C$21:L21)</f>
        <v>-5200980.20225185</v>
      </c>
      <c r="M27" s="17" t="n">
        <f aca="false">SUMPRODUCT($C$25:M25,$C$21:M21)</f>
        <v>-5060657.25569361</v>
      </c>
    </row>
    <row r="28" customFormat="false" ht="15" hidden="false" customHeight="false" outlineLevel="0" collapsed="false">
      <c r="A28" s="0" t="s">
        <v>720</v>
      </c>
      <c r="B28" s="0" t="s">
        <v>133</v>
      </c>
      <c r="D28" s="25" t="str">
        <f aca="false">IF(AND(C26&lt;0,D26&gt;=0),D$4-1+(-C26)/(D26-C26),"")</f>
        <v/>
      </c>
      <c r="E28" s="25" t="str">
        <f aca="false">IF(AND(D26&lt;0,E26&gt;=0),E$4-1+(-D26)/(E26-D26),"")</f>
        <v/>
      </c>
      <c r="F28" s="25" t="str">
        <f aca="false">IF(AND(E26&lt;0,F26&gt;=0),F$4-1+(-E26)/(F26-E26),"")</f>
        <v/>
      </c>
      <c r="G28" s="25" t="str">
        <f aca="false">IF(AND(F26&lt;0,G26&gt;=0),G$4-1+(-F26)/(G26-F26),"")</f>
        <v/>
      </c>
      <c r="H28" s="25" t="str">
        <f aca="false">IF(AND(G26&lt;0,H26&gt;=0),H$4-1+(-G26)/(H26-G26),"")</f>
        <v/>
      </c>
      <c r="I28" s="25" t="str">
        <f aca="false">IF(AND(H26&lt;0,I26&gt;=0),I$4-1+(-H26)/(I26-H26),"")</f>
        <v/>
      </c>
      <c r="J28" s="25" t="str">
        <f aca="false">IF(AND(I26&lt;0,J26&gt;=0),J$4-1+(-I26)/(J26-I26),"")</f>
        <v/>
      </c>
      <c r="K28" s="25" t="str">
        <f aca="false">IF(AND(J26&lt;0,K26&gt;=0),K$4-1+(-J26)/(K26-J26),"")</f>
        <v/>
      </c>
      <c r="L28" s="25" t="str">
        <f aca="false">IF(AND(K26&lt;0,L26&gt;=0),L$4-1+(-K26)/(L26-K26),"")</f>
        <v/>
      </c>
      <c r="M28" s="25" t="str">
        <f aca="false">IF(AND(L26&lt;0,M26&gt;=0),M$4-1+(-L26)/(M26-L26),"")</f>
        <v/>
      </c>
    </row>
    <row r="29" customFormat="false" ht="15" hidden="false" customHeight="false" outlineLevel="0" collapsed="false">
      <c r="A29" s="0" t="s">
        <v>721</v>
      </c>
      <c r="B29" s="0" t="s">
        <v>133</v>
      </c>
      <c r="D29" s="25" t="str">
        <f aca="false">IF(AND(C27&lt;0,D27&gt;=0),D$4-1+(-C27)/(D27-C27),"")</f>
        <v/>
      </c>
      <c r="E29" s="25" t="str">
        <f aca="false">IF(AND(D27&lt;0,E27&gt;=0),E$4-1+(-D27)/(E27-D27),"")</f>
        <v/>
      </c>
      <c r="F29" s="25" t="str">
        <f aca="false">IF(AND(E27&lt;0,F27&gt;=0),F$4-1+(-E27)/(F27-E27),"")</f>
        <v/>
      </c>
      <c r="G29" s="25" t="str">
        <f aca="false">IF(AND(F27&lt;0,G27&gt;=0),G$4-1+(-F27)/(G27-F27),"")</f>
        <v/>
      </c>
      <c r="H29" s="25" t="str">
        <f aca="false">IF(AND(G27&lt;0,H27&gt;=0),H$4-1+(-G27)/(H27-G27),"")</f>
        <v/>
      </c>
      <c r="I29" s="25" t="str">
        <f aca="false">IF(AND(H27&lt;0,I27&gt;=0),I$4-1+(-H27)/(I27-H27),"")</f>
        <v/>
      </c>
      <c r="J29" s="25" t="str">
        <f aca="false">IF(AND(I27&lt;0,J27&gt;=0),J$4-1+(-I27)/(J27-I27),"")</f>
        <v/>
      </c>
      <c r="K29" s="25" t="str">
        <f aca="false">IF(AND(J27&lt;0,K27&gt;=0),K$4-1+(-J27)/(K27-J27),"")</f>
        <v/>
      </c>
      <c r="L29" s="25" t="str">
        <f aca="false">IF(AND(K27&lt;0,L27&gt;=0),L$4-1+(-K27)/(L27-K27),"")</f>
        <v/>
      </c>
      <c r="M29" s="25" t="str">
        <f aca="false">IF(AND(L27&lt;0,M27&gt;=0),M$4-1+(-L27)/(M27-L27),"")</f>
        <v/>
      </c>
    </row>
    <row r="30" customFormat="false" ht="15" hidden="false" customHeight="false" outlineLevel="0" collapsed="false">
      <c r="A30" s="9" t="s">
        <v>722</v>
      </c>
    </row>
    <row r="31" customFormat="false" ht="15" hidden="false" customHeight="false" outlineLevel="0" collapsed="false">
      <c r="A31" s="0" t="s">
        <v>723</v>
      </c>
      <c r="B31" s="0" t="s">
        <v>72</v>
      </c>
      <c r="C31" s="24" t="n">
        <f aca="false">C19-(PnL!C47+Capex!C29+C14+C16+C17+C18)</f>
        <v>0</v>
      </c>
      <c r="D31" s="24" t="n">
        <f aca="false">D19-(PnL!D47+Capex!D29+D14+D16+D17+D18)</f>
        <v>0</v>
      </c>
      <c r="E31" s="24" t="n">
        <f aca="false">E19-(PnL!E47+Capex!E29+E14+E16+E17+E18)</f>
        <v>0</v>
      </c>
      <c r="F31" s="24" t="n">
        <f aca="false">F19-(PnL!F47+Capex!F29+F14+F16+F17+F18)</f>
        <v>0</v>
      </c>
      <c r="G31" s="24" t="n">
        <f aca="false">G19-(PnL!G47+Capex!G29+G14+G16+G17+G18)</f>
        <v>0</v>
      </c>
      <c r="H31" s="24" t="n">
        <f aca="false">H19-(PnL!H47+Capex!H29+H14+H16+H17+H18)</f>
        <v>0</v>
      </c>
      <c r="I31" s="24" t="n">
        <f aca="false">I19-(PnL!I47+Capex!I29+I14+I16+I17+I18)</f>
        <v>0</v>
      </c>
      <c r="J31" s="24" t="n">
        <f aca="false">J19-(PnL!J47+Capex!J29+J14+J16+J17+J18)</f>
        <v>0</v>
      </c>
      <c r="K31" s="24" t="n">
        <f aca="false">K19-(PnL!K47+Capex!K29+K14+K16+K17+K18)</f>
        <v>0</v>
      </c>
      <c r="L31" s="24" t="n">
        <f aca="false">L19-(PnL!L47+Capex!L29+L14+L16+L17+L18)</f>
        <v>0</v>
      </c>
      <c r="M31" s="24" t="n">
        <f aca="false">M19-(PnL!M47+Capex!M29+M14+M16+M17+M18)</f>
        <v>0</v>
      </c>
    </row>
    <row r="32" customFormat="false" ht="15" hidden="false" customHeight="false" outlineLevel="0" collapsed="false">
      <c r="A32" s="0" t="s">
        <v>724</v>
      </c>
      <c r="B32" s="0" t="s">
        <v>72</v>
      </c>
      <c r="C32" s="24" t="n">
        <f aca="false">C6+C7+C8-(PnL!C47+Capex!C29)</f>
        <v>0</v>
      </c>
      <c r="D32" s="24" t="n">
        <f aca="false">D6+D7+D8-(PnL!D47+Capex!D29)</f>
        <v>0</v>
      </c>
      <c r="E32" s="24" t="n">
        <f aca="false">E6+E7+E8-(PnL!E47+Capex!E29)</f>
        <v>0</v>
      </c>
      <c r="F32" s="24" t="n">
        <f aca="false">F6+F7+F8-(PnL!F47+Capex!F29)</f>
        <v>0</v>
      </c>
      <c r="G32" s="24" t="n">
        <f aca="false">G6+G7+G8-(PnL!G47+Capex!G29)</f>
        <v>0</v>
      </c>
      <c r="H32" s="24" t="n">
        <f aca="false">H6+H7+H8-(PnL!H47+Capex!H29)</f>
        <v>0</v>
      </c>
      <c r="I32" s="24" t="n">
        <f aca="false">I6+I7+I8-(PnL!I47+Capex!I29)</f>
        <v>0</v>
      </c>
      <c r="J32" s="24" t="n">
        <f aca="false">J6+J7+J8-(PnL!J47+Capex!J29)</f>
        <v>0</v>
      </c>
      <c r="K32" s="24" t="n">
        <f aca="false">K6+K7+K8-(PnL!K47+Capex!K29)</f>
        <v>0</v>
      </c>
      <c r="L32" s="24" t="n">
        <f aca="false">L6+L7+L8-(PnL!L47+Capex!L29)</f>
        <v>0</v>
      </c>
      <c r="M32" s="24" t="n">
        <f aca="false">M6+M7+M8-(PnL!M47+Capex!M29)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725</v>
      </c>
    </row>
    <row r="2" customFormat="false" ht="15" hidden="false" customHeight="false" outlineLevel="0" collapsed="false">
      <c r="A2" s="0" t="str">
        <f aca="false">"Active scenario: "&amp;Inputs!D3</f>
        <v>Active scenario: Base</v>
      </c>
    </row>
    <row r="4" customFormat="false" ht="15" hidden="false" customHeight="false" outlineLevel="0" collapsed="false">
      <c r="A4" s="6" t="s">
        <v>726</v>
      </c>
      <c r="B4" s="6" t="s">
        <v>727</v>
      </c>
      <c r="C4" s="6" t="s">
        <v>36</v>
      </c>
      <c r="D4" s="6" t="s">
        <v>728</v>
      </c>
    </row>
    <row r="5" customFormat="false" ht="15" hidden="false" customHeight="false" outlineLevel="0" collapsed="false">
      <c r="A5" s="0" t="s">
        <v>729</v>
      </c>
      <c r="B5" s="26" t="n">
        <f aca="false">SUMPRODUCT(CashFlow!$C$19:$M$19,CashFlow!$C$21:$M$21)</f>
        <v>-4481665.39558775</v>
      </c>
      <c r="C5" s="8" t="s">
        <v>72</v>
      </c>
      <c r="D5" s="5" t="s">
        <v>730</v>
      </c>
    </row>
    <row r="6" customFormat="false" ht="15" hidden="false" customHeight="false" outlineLevel="0" collapsed="false">
      <c r="A6" s="0" t="s">
        <v>731</v>
      </c>
      <c r="B6" s="26" t="n">
        <f aca="false">CashFlow!$C$19+NPV(discount_rate_real/100,CashFlow!$D$19:$M$19)</f>
        <v>-4481665.39558775</v>
      </c>
      <c r="C6" s="8" t="s">
        <v>72</v>
      </c>
      <c r="D6" s="5" t="s">
        <v>732</v>
      </c>
    </row>
    <row r="7" customFormat="false" ht="15" hidden="false" customHeight="false" outlineLevel="0" collapsed="false">
      <c r="A7" s="0" t="s">
        <v>733</v>
      </c>
      <c r="B7" s="27" t="n">
        <f aca="false">discount_rate_real/100</f>
        <v>0.08</v>
      </c>
      <c r="C7" s="8" t="s">
        <v>66</v>
      </c>
      <c r="D7" s="5" t="s">
        <v>734</v>
      </c>
    </row>
    <row r="8" customFormat="false" ht="15" hidden="false" customHeight="false" outlineLevel="0" collapsed="false">
      <c r="A8" s="0" t="s">
        <v>735</v>
      </c>
      <c r="B8" s="27" t="n">
        <f aca="false">IFERROR(IRR(CashFlow!$C$19:$M$19,0.1),IFERROR(IRR(CashFlow!$C$19:$M$19,-0.1),IFERROR(IRR(CashFlow!$C$19:$M$19,-0.3),"n/a")))</f>
        <v>-0.0706382633148965</v>
      </c>
      <c r="C8" s="8" t="s">
        <v>66</v>
      </c>
      <c r="D8" s="5" t="s">
        <v>736</v>
      </c>
    </row>
    <row r="9" customFormat="false" ht="15" hidden="false" customHeight="false" outlineLevel="0" collapsed="false">
      <c r="A9" s="0" t="s">
        <v>737</v>
      </c>
      <c r="B9" s="28" t="str">
        <f aca="false">IF(COUNT(CashFlow!$D$28:$M$28)=0,"not reached",MIN(CashFlow!$D$28:$M$28))</f>
        <v>not reached</v>
      </c>
      <c r="C9" s="8" t="s">
        <v>738</v>
      </c>
      <c r="D9" s="5" t="s">
        <v>739</v>
      </c>
    </row>
    <row r="10" customFormat="false" ht="15" hidden="false" customHeight="false" outlineLevel="0" collapsed="false">
      <c r="A10" s="0" t="s">
        <v>740</v>
      </c>
      <c r="B10" s="28" t="str">
        <f aca="false">IF(COUNT(CashFlow!$D$29:$M$29)=0,"not reached",MIN(CashFlow!$D$29:$M$29))</f>
        <v>not reached</v>
      </c>
      <c r="C10" s="8" t="s">
        <v>738</v>
      </c>
      <c r="D10" s="5" t="s">
        <v>741</v>
      </c>
    </row>
    <row r="11" customFormat="false" ht="15" hidden="false" customHeight="false" outlineLevel="0" collapsed="false">
      <c r="A11" s="0" t="s">
        <v>742</v>
      </c>
      <c r="B11" s="26" t="n">
        <f aca="false">INDEX(PnL!$C$35:$M$35,1,opt_start_delay+4)</f>
        <v>530374.2601424</v>
      </c>
      <c r="C11" s="8" t="s">
        <v>72</v>
      </c>
      <c r="D11" s="5" t="s">
        <v>743</v>
      </c>
    </row>
    <row r="12" customFormat="false" ht="15" hidden="false" customHeight="false" outlineLevel="0" collapsed="false">
      <c r="A12" s="0" t="s">
        <v>744</v>
      </c>
      <c r="B12" s="26" t="n">
        <f aca="false">PnL!$D$35</f>
        <v>-418885.842003999</v>
      </c>
      <c r="C12" s="8" t="s">
        <v>72</v>
      </c>
      <c r="D12" s="5"/>
    </row>
    <row r="13" customFormat="false" ht="15" hidden="false" customHeight="false" outlineLevel="0" collapsed="false">
      <c r="A13" s="0" t="s">
        <v>745</v>
      </c>
      <c r="B13" s="26" t="n">
        <f aca="false">PnL!$M$35</f>
        <v>372403.354340202</v>
      </c>
      <c r="C13" s="8" t="s">
        <v>72</v>
      </c>
      <c r="D13" s="5"/>
    </row>
    <row r="14" customFormat="false" ht="15" hidden="false" customHeight="false" outlineLevel="0" collapsed="false">
      <c r="A14" s="0" t="s">
        <v>746</v>
      </c>
      <c r="B14" s="26" t="n">
        <f aca="false">MAX(0,-MIN(CashFlow!$C$20:$M$20))</f>
        <v>6835872.76477422</v>
      </c>
      <c r="C14" s="8" t="s">
        <v>72</v>
      </c>
      <c r="D14" s="5" t="s">
        <v>747</v>
      </c>
    </row>
    <row r="15" customFormat="false" ht="15" hidden="false" customHeight="false" outlineLevel="0" collapsed="false">
      <c r="A15" s="0" t="s">
        <v>708</v>
      </c>
      <c r="B15" s="26" t="n">
        <f aca="false">SUM(Capex!$C$14:$M$14)</f>
        <v>5500000</v>
      </c>
      <c r="C15" s="8" t="s">
        <v>72</v>
      </c>
      <c r="D15" s="5" t="s">
        <v>748</v>
      </c>
    </row>
    <row r="16" customFormat="false" ht="15" hidden="false" customHeight="false" outlineLevel="0" collapsed="false">
      <c r="A16" s="0" t="s">
        <v>749</v>
      </c>
      <c r="B16" s="27" t="n">
        <f aca="false">Valuation!$B$5/Valuation!$B$15</f>
        <v>-0.814848253743228</v>
      </c>
      <c r="C16" s="8" t="s">
        <v>66</v>
      </c>
      <c r="D16" s="5" t="s">
        <v>750</v>
      </c>
    </row>
    <row r="17" customFormat="false" ht="15" hidden="false" customHeight="false" outlineLevel="0" collapsed="false">
      <c r="A17" s="0" t="s">
        <v>751</v>
      </c>
      <c r="B17" s="26" t="n">
        <f aca="false">Valuation!$B$5+CashFlow!$M$13*CashFlow!$M$21</f>
        <v>-3889007.64381086</v>
      </c>
      <c r="C17" s="8" t="s">
        <v>72</v>
      </c>
      <c r="D17" s="5" t="s">
        <v>752</v>
      </c>
    </row>
    <row r="18" customFormat="false" ht="15" hidden="false" customHeight="false" outlineLevel="0" collapsed="false">
      <c r="A18" s="0" t="s">
        <v>753</v>
      </c>
      <c r="B18" s="26" t="n">
        <f aca="false">INDEX(Revenue!$C$42:$M$42,1,opt_start_delay+4)</f>
        <v>9571544.07552</v>
      </c>
      <c r="C18" s="8" t="s">
        <v>72</v>
      </c>
      <c r="D18" s="5"/>
    </row>
    <row r="19" customFormat="false" ht="15" hidden="false" customHeight="false" outlineLevel="0" collapsed="false">
      <c r="A19" s="0" t="s">
        <v>754</v>
      </c>
      <c r="B19" s="29" t="n">
        <f aca="false">(INDEX(Revenue!$C$42:$M$42,1,opt_start_delay+4)-INDEX(Revenue!$C$27:$M$27,1,opt_start_delay+4)-INDEX(Revenue!$C$40:$M$40,1,opt_start_delay+4))/INDEX(Revenue!$C$8:$M$8,1,opt_start_delay+4)-(INDEX(Opex!$C$46:$M$46,1,opt_start_delay+4)-INDEX(Opex!$C$63:$M$63,1,opt_start_delay+4))/INDEX(Revenue!$C$8:$M$8,1,opt_start_delay+4)</f>
        <v>27.52616221632</v>
      </c>
      <c r="C19" s="8" t="s">
        <v>287</v>
      </c>
      <c r="D19" s="5" t="s">
        <v>755</v>
      </c>
    </row>
    <row r="20" customFormat="false" ht="15" hidden="false" customHeight="false" outlineLevel="0" collapsed="false">
      <c r="A20" s="0" t="s">
        <v>756</v>
      </c>
      <c r="B20" s="26" t="n">
        <f aca="false">IF(Valuation!$B$19&gt;0,(INDEX(Opex!$C$59:$M$59,1,opt_start_delay+4)-INDEX(Revenue!$C$27:$M$27,1,opt_start_delay+4)-INDEX(Opex!$C$65:$M$65,1,opt_start_delay+4))/Valuation!$B$19,"none")</f>
        <v>50731.9939490894</v>
      </c>
      <c r="C20" s="8" t="s">
        <v>90</v>
      </c>
      <c r="D20" s="5" t="s">
        <v>757</v>
      </c>
    </row>
    <row r="21" customFormat="false" ht="15" hidden="false" customHeight="false" outlineLevel="0" collapsed="false">
      <c r="A21" s="0" t="s">
        <v>758</v>
      </c>
      <c r="B21" s="26" t="n">
        <f aca="false">Valuation!$B$15*(discount_rate_real/100)/(1-(1+discount_rate_real/100)^-10)</f>
        <v>819662.187833914</v>
      </c>
      <c r="C21" s="8" t="s">
        <v>317</v>
      </c>
      <c r="D21" s="5" t="s">
        <v>759</v>
      </c>
    </row>
    <row r="22" customFormat="false" ht="15" hidden="false" customHeight="false" outlineLevel="0" collapsed="false">
      <c r="A22" s="0" t="s">
        <v>760</v>
      </c>
      <c r="B22" s="26" t="n">
        <f aca="false">IF(Valuation!$B$19&gt;0,(INDEX(Opex!$C$59:$M$59,1,opt_start_delay+4)-INDEX(Revenue!$C$27:$M$27,1,opt_start_delay+4)-INDEX(Opex!$C$65:$M$65,1,opt_start_delay+4)+Valuation!$B$21)/Valuation!$B$19,"none")</f>
        <v>80509.5626995905</v>
      </c>
      <c r="C22" s="8" t="s">
        <v>90</v>
      </c>
      <c r="D22" s="5" t="s">
        <v>761</v>
      </c>
    </row>
    <row r="24" customFormat="false" ht="15" hidden="false" customHeight="false" outlineLevel="0" collapsed="false">
      <c r="A24" s="30" t="s">
        <v>762</v>
      </c>
    </row>
    <row r="25" customFormat="false" ht="15" hidden="false" customHeight="false" outlineLevel="0" collapsed="false">
      <c r="A25" s="5" t="s">
        <v>763</v>
      </c>
      <c r="B25" s="31" t="n">
        <v>111842.277442579</v>
      </c>
      <c r="C25" s="8" t="s">
        <v>90</v>
      </c>
    </row>
    <row r="26" customFormat="false" ht="15" hidden="false" customHeight="false" outlineLevel="0" collapsed="false">
      <c r="A26" s="5" t="s">
        <v>764</v>
      </c>
      <c r="B26" s="31" t="n">
        <v>149.240813903395</v>
      </c>
      <c r="C26" s="8" t="s">
        <v>287</v>
      </c>
    </row>
    <row r="27" customFormat="false" ht="15" hidden="false" customHeight="false" outlineLevel="0" collapsed="false">
      <c r="A27" s="5" t="s">
        <v>765</v>
      </c>
      <c r="B27" s="32" t="n">
        <v>46.0507352959217</v>
      </c>
      <c r="C27" s="8" t="s">
        <v>369</v>
      </c>
    </row>
    <row r="28" customFormat="false" ht="15" hidden="false" customHeight="false" outlineLevel="0" collapsed="false">
      <c r="A28" s="5" t="s">
        <v>766</v>
      </c>
      <c r="B28" s="32" t="n">
        <v>-0.425801516627891</v>
      </c>
      <c r="C28" s="8" t="s">
        <v>767</v>
      </c>
    </row>
    <row r="29" customFormat="false" ht="15" hidden="false" customHeight="false" outlineLevel="0" collapsed="false">
      <c r="A29" s="5" t="s">
        <v>768</v>
      </c>
      <c r="B29" s="31" t="n">
        <v>-5920016.24452954</v>
      </c>
      <c r="C29" s="8" t="s">
        <v>72</v>
      </c>
    </row>
    <row r="30" customFormat="false" ht="15" hidden="false" customHeight="false" outlineLevel="0" collapsed="false">
      <c r="A30" s="5" t="s">
        <v>769</v>
      </c>
      <c r="B30" s="31" t="n">
        <v>-4189318.92005319</v>
      </c>
      <c r="C30" s="8" t="s">
        <v>72</v>
      </c>
    </row>
    <row r="31" customFormat="false" ht="15" hidden="false" customHeight="false" outlineLevel="0" collapsed="false">
      <c r="A31" s="5" t="s">
        <v>770</v>
      </c>
      <c r="B31" s="31" t="n">
        <v>-4726018.24672014</v>
      </c>
      <c r="C31" s="8" t="s">
        <v>72</v>
      </c>
    </row>
    <row r="32" customFormat="false" ht="15" hidden="false" customHeight="false" outlineLevel="0" collapsed="false">
      <c r="A32" s="5" t="s">
        <v>771</v>
      </c>
      <c r="B32" s="31" t="n">
        <v>-4864033.23706707</v>
      </c>
      <c r="C32" s="8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772</v>
      </c>
    </row>
    <row r="2" customFormat="false" ht="48" hidden="false" customHeight="true" outlineLevel="0" collapsed="false">
      <c r="A2" s="33" t="s">
        <v>773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customFormat="false" ht="15" hidden="false" customHeight="false" outlineLevel="0" collapsed="false">
      <c r="A4" s="6" t="s">
        <v>726</v>
      </c>
      <c r="B4" s="6" t="s">
        <v>774</v>
      </c>
      <c r="C4" s="6" t="s">
        <v>775</v>
      </c>
      <c r="D4" s="6" t="s">
        <v>776</v>
      </c>
      <c r="E4" s="6" t="s">
        <v>36</v>
      </c>
    </row>
    <row r="5" customFormat="false" ht="15" hidden="false" customHeight="false" outlineLevel="0" collapsed="false">
      <c r="A5" s="0" t="s">
        <v>777</v>
      </c>
      <c r="B5" s="31" t="n">
        <v>-38250548.1817232</v>
      </c>
      <c r="C5" s="31" t="n">
        <v>-4481665.39558776</v>
      </c>
      <c r="D5" s="31" t="n">
        <v>29963056.8776528</v>
      </c>
      <c r="E5" s="8" t="s">
        <v>72</v>
      </c>
    </row>
    <row r="6" customFormat="false" ht="15" hidden="false" customHeight="false" outlineLevel="0" collapsed="false">
      <c r="A6" s="0" t="s">
        <v>778</v>
      </c>
      <c r="B6" s="34" t="s">
        <v>779</v>
      </c>
      <c r="C6" s="34" t="n">
        <v>-0.0706382633148967</v>
      </c>
      <c r="D6" s="34" t="n">
        <v>1.19375492816751</v>
      </c>
      <c r="E6" s="8" t="s">
        <v>66</v>
      </c>
    </row>
    <row r="7" customFormat="false" ht="15" hidden="false" customHeight="false" outlineLevel="0" collapsed="false">
      <c r="A7" s="0" t="s">
        <v>780</v>
      </c>
      <c r="B7" s="35" t="s">
        <v>779</v>
      </c>
      <c r="C7" s="35" t="s">
        <v>779</v>
      </c>
      <c r="D7" s="35" t="n">
        <v>1.1227018052282</v>
      </c>
      <c r="E7" s="8" t="s">
        <v>133</v>
      </c>
    </row>
    <row r="8" customFormat="false" ht="15" hidden="false" customHeight="false" outlineLevel="0" collapsed="false">
      <c r="A8" s="0" t="s">
        <v>781</v>
      </c>
      <c r="B8" s="35" t="s">
        <v>779</v>
      </c>
      <c r="C8" s="35" t="s">
        <v>779</v>
      </c>
      <c r="D8" s="35" t="n">
        <v>1.19010883746364</v>
      </c>
      <c r="E8" s="8" t="s">
        <v>133</v>
      </c>
    </row>
    <row r="9" customFormat="false" ht="15" hidden="false" customHeight="false" outlineLevel="0" collapsed="false">
      <c r="A9" s="0" t="s">
        <v>782</v>
      </c>
      <c r="B9" s="31" t="n">
        <v>-4109613.67607859</v>
      </c>
      <c r="C9" s="31" t="n">
        <v>530374.260142399</v>
      </c>
      <c r="D9" s="31" t="n">
        <v>6952848.37955857</v>
      </c>
      <c r="E9" s="8" t="s">
        <v>72</v>
      </c>
    </row>
    <row r="10" customFormat="false" ht="15" hidden="false" customHeight="false" outlineLevel="0" collapsed="false">
      <c r="A10" s="0" t="s">
        <v>783</v>
      </c>
      <c r="B10" s="31" t="n">
        <v>53454568.9717535</v>
      </c>
      <c r="C10" s="31" t="n">
        <v>6835872.76477422</v>
      </c>
      <c r="D10" s="31" t="n">
        <v>2842680</v>
      </c>
      <c r="E10" s="8" t="s">
        <v>72</v>
      </c>
    </row>
    <row r="11" customFormat="false" ht="15" hidden="false" customHeight="false" outlineLevel="0" collapsed="false">
      <c r="A11" s="0" t="s">
        <v>708</v>
      </c>
      <c r="B11" s="31" t="n">
        <v>8000000</v>
      </c>
      <c r="C11" s="31" t="n">
        <v>5500000</v>
      </c>
      <c r="D11" s="31" t="n">
        <v>4000000</v>
      </c>
      <c r="E11" s="8" t="s">
        <v>72</v>
      </c>
    </row>
    <row r="12" customFormat="false" ht="15" hidden="false" customHeight="false" outlineLevel="0" collapsed="false">
      <c r="A12" s="0" t="s">
        <v>784</v>
      </c>
      <c r="B12" s="34" t="n">
        <v>-4.7813185227154</v>
      </c>
      <c r="C12" s="34" t="n">
        <v>-0.814848253743229</v>
      </c>
      <c r="D12" s="34" t="n">
        <v>7.4907642194132</v>
      </c>
      <c r="E12" s="8" t="s">
        <v>66</v>
      </c>
    </row>
    <row r="13" customFormat="false" ht="15" hidden="false" customHeight="false" outlineLevel="0" collapsed="false">
      <c r="A13" s="0" t="s">
        <v>785</v>
      </c>
      <c r="B13" s="31" t="s">
        <v>779</v>
      </c>
      <c r="C13" s="31" t="n">
        <v>50731.9939490894</v>
      </c>
      <c r="D13" s="31" t="n">
        <v>10070.446658011</v>
      </c>
      <c r="E13" s="8" t="s">
        <v>90</v>
      </c>
    </row>
    <row r="15" customFormat="false" ht="15" hidden="false" customHeight="false" outlineLevel="0" collapsed="false">
      <c r="A15" s="2" t="s">
        <v>786</v>
      </c>
      <c r="B15" s="2" t="n">
        <v>2026</v>
      </c>
      <c r="C15" s="2" t="n">
        <v>2027</v>
      </c>
      <c r="D15" s="2" t="n">
        <v>2028</v>
      </c>
      <c r="E15" s="2" t="n">
        <v>2029</v>
      </c>
      <c r="F15" s="2" t="n">
        <v>2030</v>
      </c>
      <c r="G15" s="2" t="n">
        <v>2031</v>
      </c>
      <c r="H15" s="2" t="n">
        <v>2032</v>
      </c>
      <c r="I15" s="2" t="n">
        <v>2033</v>
      </c>
      <c r="J15" s="2" t="n">
        <v>2034</v>
      </c>
      <c r="K15" s="2" t="n">
        <v>2035</v>
      </c>
      <c r="L15" s="2" t="n">
        <v>2036</v>
      </c>
    </row>
    <row r="16" customFormat="false" ht="15" hidden="false" customHeight="false" outlineLevel="0" collapsed="false">
      <c r="A16" s="0" t="s">
        <v>787</v>
      </c>
      <c r="B16" s="31" t="n">
        <v>-660000</v>
      </c>
      <c r="C16" s="31" t="n">
        <v>-3029181.91677</v>
      </c>
      <c r="D16" s="31" t="n">
        <v>-3550774.12247</v>
      </c>
      <c r="E16" s="31" t="n">
        <v>-4109613.67607859</v>
      </c>
      <c r="F16" s="31" t="n">
        <v>-4200402.06091215</v>
      </c>
      <c r="G16" s="31" t="n">
        <v>-4514697.63290908</v>
      </c>
      <c r="H16" s="31" t="n">
        <v>-4595896.66876765</v>
      </c>
      <c r="I16" s="31" t="n">
        <v>-4680049.01995981</v>
      </c>
      <c r="J16" s="31" t="n">
        <v>-4773795.3253637</v>
      </c>
      <c r="K16" s="31" t="n">
        <v>-4809273.55969724</v>
      </c>
      <c r="L16" s="31" t="n">
        <v>-4844759.89621279</v>
      </c>
    </row>
    <row r="17" customFormat="false" ht="15" hidden="false" customHeight="false" outlineLevel="0" collapsed="false">
      <c r="A17" s="0" t="s">
        <v>38</v>
      </c>
      <c r="B17" s="31" t="n">
        <v>-380000</v>
      </c>
      <c r="C17" s="31" t="n">
        <v>-418885.842004</v>
      </c>
      <c r="D17" s="31" t="n">
        <v>136864.453774303</v>
      </c>
      <c r="E17" s="31" t="n">
        <v>530374.260142399</v>
      </c>
      <c r="F17" s="31" t="n">
        <v>506811.9049922</v>
      </c>
      <c r="G17" s="31" t="n">
        <v>437358.636886623</v>
      </c>
      <c r="H17" s="31" t="n">
        <v>420465.721275138</v>
      </c>
      <c r="I17" s="31" t="n">
        <v>401457.041881841</v>
      </c>
      <c r="J17" s="31" t="n">
        <v>380332.501307869</v>
      </c>
      <c r="K17" s="31" t="n">
        <v>376377.814540952</v>
      </c>
      <c r="L17" s="31" t="n">
        <v>372403.354340201</v>
      </c>
    </row>
    <row r="18" customFormat="false" ht="15" hidden="false" customHeight="false" outlineLevel="0" collapsed="false">
      <c r="A18" s="0" t="s">
        <v>788</v>
      </c>
      <c r="B18" s="31" t="n">
        <v>-240000</v>
      </c>
      <c r="C18" s="31" t="n">
        <v>4117667.777826</v>
      </c>
      <c r="D18" s="31" t="n">
        <v>6103974.0198435</v>
      </c>
      <c r="E18" s="31" t="n">
        <v>6952848.37955857</v>
      </c>
      <c r="F18" s="31" t="n">
        <v>7026529.37235936</v>
      </c>
      <c r="G18" s="31" t="n">
        <v>7100584.17826646</v>
      </c>
      <c r="H18" s="31" t="n">
        <v>7175009.30157499</v>
      </c>
      <c r="I18" s="31" t="n">
        <v>7249805.25935196</v>
      </c>
      <c r="J18" s="31" t="n">
        <v>7324973.24518232</v>
      </c>
      <c r="K18" s="31" t="n">
        <v>7400524.47085523</v>
      </c>
      <c r="L18" s="31" t="n">
        <v>7476454.14327061</v>
      </c>
    </row>
    <row r="20" customFormat="false" ht="15" hidden="false" customHeight="false" outlineLevel="0" collapsed="false">
      <c r="A20" s="2" t="s">
        <v>789</v>
      </c>
      <c r="B20" s="2" t="n">
        <v>2026</v>
      </c>
      <c r="C20" s="2" t="n">
        <v>2027</v>
      </c>
      <c r="D20" s="2" t="n">
        <v>2028</v>
      </c>
      <c r="E20" s="2" t="n">
        <v>2029</v>
      </c>
      <c r="F20" s="2" t="n">
        <v>2030</v>
      </c>
      <c r="G20" s="2" t="n">
        <v>2031</v>
      </c>
      <c r="H20" s="2" t="n">
        <v>2032</v>
      </c>
      <c r="I20" s="2" t="n">
        <v>2033</v>
      </c>
      <c r="J20" s="2" t="n">
        <v>2034</v>
      </c>
      <c r="K20" s="2" t="n">
        <v>2035</v>
      </c>
      <c r="L20" s="2" t="n">
        <v>2036</v>
      </c>
    </row>
    <row r="21" customFormat="false" ht="15" hidden="false" customHeight="false" outlineLevel="0" collapsed="false">
      <c r="A21" s="0" t="s">
        <v>787</v>
      </c>
      <c r="B21" s="31" t="n">
        <v>-8660000</v>
      </c>
      <c r="C21" s="31" t="n">
        <v>-3551703.90656452</v>
      </c>
      <c r="D21" s="31" t="n">
        <v>-3963564.51904534</v>
      </c>
      <c r="E21" s="31" t="n">
        <v>-4523269.8673595</v>
      </c>
      <c r="F21" s="31" t="n">
        <v>-4350469.1702078</v>
      </c>
      <c r="G21" s="31" t="n">
        <v>-4701092.24332778</v>
      </c>
      <c r="H21" s="31" t="n">
        <v>-4744455.29220343</v>
      </c>
      <c r="I21" s="31" t="n">
        <v>-4829111.23816813</v>
      </c>
      <c r="J21" s="31" t="n">
        <v>-4924439.3207803</v>
      </c>
      <c r="K21" s="31" t="n">
        <v>-4950476.54625696</v>
      </c>
      <c r="L21" s="31" t="n">
        <v>-4255986.86783971</v>
      </c>
    </row>
    <row r="22" customFormat="false" ht="15" hidden="false" customHeight="false" outlineLevel="0" collapsed="false">
      <c r="A22" s="0" t="s">
        <v>38</v>
      </c>
      <c r="B22" s="31" t="n">
        <v>-5480000</v>
      </c>
      <c r="C22" s="31" t="n">
        <v>-1084616.0862451</v>
      </c>
      <c r="D22" s="31" t="n">
        <v>-271256.678529127</v>
      </c>
      <c r="E22" s="31" t="n">
        <v>218415.596875418</v>
      </c>
      <c r="F22" s="31" t="n">
        <v>450217.423944529</v>
      </c>
      <c r="G22" s="31" t="n">
        <v>365412.798206075</v>
      </c>
      <c r="H22" s="31" t="n">
        <v>366116.169945822</v>
      </c>
      <c r="I22" s="31" t="n">
        <v>346405.95001554</v>
      </c>
      <c r="J22" s="31" t="n">
        <v>324579.868904581</v>
      </c>
      <c r="K22" s="31" t="n">
        <v>309146.453002484</v>
      </c>
      <c r="L22" s="31" t="n">
        <v>1552946.71701556</v>
      </c>
    </row>
    <row r="23" customFormat="false" ht="15" hidden="false" customHeight="false" outlineLevel="0" collapsed="false">
      <c r="A23" s="0" t="s">
        <v>788</v>
      </c>
      <c r="B23" s="31" t="n">
        <v>-2842680</v>
      </c>
      <c r="C23" s="31" t="n">
        <v>2319394.26591402</v>
      </c>
      <c r="D23" s="31" t="n">
        <v>4264694.66453894</v>
      </c>
      <c r="E23" s="31" t="n">
        <v>5072524.62667664</v>
      </c>
      <c r="F23" s="31" t="n">
        <v>5247830.63182837</v>
      </c>
      <c r="G23" s="31" t="n">
        <v>5303131.36994844</v>
      </c>
      <c r="H23" s="31" t="n">
        <v>5358494.77849448</v>
      </c>
      <c r="I23" s="31" t="n">
        <v>5414080.1479363</v>
      </c>
      <c r="J23" s="31" t="n">
        <v>5469914.84742662</v>
      </c>
      <c r="K23" s="31" t="n">
        <v>5526404.46482548</v>
      </c>
      <c r="L23" s="31" t="n">
        <v>7022909.81071549</v>
      </c>
    </row>
    <row r="25" customFormat="false" ht="15" hidden="false" customHeight="false" outlineLevel="0" collapsed="false">
      <c r="A25" s="2" t="s">
        <v>790</v>
      </c>
      <c r="B25" s="2" t="n">
        <v>2026</v>
      </c>
      <c r="C25" s="2" t="n">
        <v>2027</v>
      </c>
      <c r="D25" s="2" t="n">
        <v>2028</v>
      </c>
      <c r="E25" s="2" t="n">
        <v>2029</v>
      </c>
      <c r="F25" s="2" t="n">
        <v>2030</v>
      </c>
      <c r="G25" s="2" t="n">
        <v>2031</v>
      </c>
      <c r="H25" s="2" t="n">
        <v>2032</v>
      </c>
      <c r="I25" s="2" t="n">
        <v>2033</v>
      </c>
      <c r="J25" s="2" t="n">
        <v>2034</v>
      </c>
      <c r="K25" s="2" t="n">
        <v>2035</v>
      </c>
      <c r="L25" s="2" t="n">
        <v>2036</v>
      </c>
    </row>
    <row r="26" customFormat="false" ht="15" hidden="false" customHeight="false" outlineLevel="0" collapsed="false">
      <c r="A26" s="0" t="s">
        <v>787</v>
      </c>
      <c r="B26" s="31" t="n">
        <v>0</v>
      </c>
      <c r="C26" s="31" t="n">
        <v>17500</v>
      </c>
      <c r="D26" s="31" t="n">
        <v>30000</v>
      </c>
      <c r="E26" s="31" t="n">
        <v>42500</v>
      </c>
      <c r="F26" s="31" t="n">
        <v>42500</v>
      </c>
      <c r="G26" s="31" t="n">
        <v>42500</v>
      </c>
      <c r="H26" s="31" t="n">
        <v>42500</v>
      </c>
      <c r="I26" s="31" t="n">
        <v>42500</v>
      </c>
      <c r="J26" s="31" t="n">
        <v>42500</v>
      </c>
      <c r="K26" s="31" t="n">
        <v>42500</v>
      </c>
      <c r="L26" s="31" t="n">
        <v>42500</v>
      </c>
    </row>
    <row r="27" customFormat="false" ht="15" hidden="false" customHeight="false" outlineLevel="0" collapsed="false">
      <c r="A27" s="0" t="s">
        <v>38</v>
      </c>
      <c r="B27" s="31" t="n">
        <v>0</v>
      </c>
      <c r="C27" s="31" t="n">
        <v>35000</v>
      </c>
      <c r="D27" s="31" t="n">
        <v>55300</v>
      </c>
      <c r="E27" s="31" t="n">
        <v>70000</v>
      </c>
      <c r="F27" s="31" t="n">
        <v>70000</v>
      </c>
      <c r="G27" s="31" t="n">
        <v>70000</v>
      </c>
      <c r="H27" s="31" t="n">
        <v>70000</v>
      </c>
      <c r="I27" s="31" t="n">
        <v>70000</v>
      </c>
      <c r="J27" s="31" t="n">
        <v>70000</v>
      </c>
      <c r="K27" s="31" t="n">
        <v>70000</v>
      </c>
      <c r="L27" s="31" t="n">
        <v>70000</v>
      </c>
    </row>
    <row r="28" customFormat="false" ht="15" hidden="false" customHeight="false" outlineLevel="0" collapsed="false">
      <c r="A28" s="0" t="s">
        <v>788</v>
      </c>
      <c r="B28" s="31" t="n">
        <v>0</v>
      </c>
      <c r="C28" s="31" t="n">
        <v>58500</v>
      </c>
      <c r="D28" s="31" t="n">
        <v>81000</v>
      </c>
      <c r="E28" s="31" t="n">
        <v>90000</v>
      </c>
      <c r="F28" s="31" t="n">
        <v>90000</v>
      </c>
      <c r="G28" s="31" t="n">
        <v>90000</v>
      </c>
      <c r="H28" s="31" t="n">
        <v>90000</v>
      </c>
      <c r="I28" s="31" t="n">
        <v>90000</v>
      </c>
      <c r="J28" s="31" t="n">
        <v>90000</v>
      </c>
      <c r="K28" s="31" t="n">
        <v>90000</v>
      </c>
      <c r="L28" s="31" t="n">
        <v>90000</v>
      </c>
    </row>
    <row r="30" customFormat="false" ht="15" hidden="false" customHeight="false" outlineLevel="0" collapsed="false">
      <c r="A30" s="2" t="s">
        <v>791</v>
      </c>
    </row>
    <row r="31" customFormat="false" ht="15" hidden="false" customHeight="false" outlineLevel="0" collapsed="false">
      <c r="A31" s="0" t="s">
        <v>792</v>
      </c>
      <c r="B31" s="36" t="n">
        <v>-15957355.2002789</v>
      </c>
    </row>
    <row r="32" customFormat="false" ht="15" hidden="false" customHeight="false" outlineLevel="0" collapsed="false">
      <c r="A32" s="0" t="s">
        <v>793</v>
      </c>
      <c r="B32" s="36" t="n">
        <v>3479658.70517322</v>
      </c>
    </row>
    <row r="33" customFormat="false" ht="15" hidden="false" customHeight="false" outlineLevel="0" collapsed="false">
      <c r="A33" s="5" t="s">
        <v>794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6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1" t="s">
        <v>795</v>
      </c>
    </row>
    <row r="2" customFormat="false" ht="15" hidden="false" customHeight="false" outlineLevel="0" collapsed="false">
      <c r="A2" s="0" t="s">
        <v>796</v>
      </c>
    </row>
    <row r="4" customFormat="false" ht="28.35" hidden="false" customHeight="false" outlineLevel="0" collapsed="false">
      <c r="A4" s="6" t="s">
        <v>797</v>
      </c>
      <c r="B4" s="6" t="s">
        <v>798</v>
      </c>
      <c r="C4" s="6" t="s">
        <v>799</v>
      </c>
      <c r="D4" s="6" t="s">
        <v>800</v>
      </c>
      <c r="E4" s="6" t="s">
        <v>801</v>
      </c>
      <c r="F4" s="6" t="s">
        <v>802</v>
      </c>
      <c r="G4" s="6" t="s">
        <v>803</v>
      </c>
      <c r="H4" s="6" t="s">
        <v>804</v>
      </c>
      <c r="I4" s="6" t="s">
        <v>805</v>
      </c>
    </row>
    <row r="5" customFormat="false" ht="15" hidden="false" customHeight="false" outlineLevel="0" collapsed="false">
      <c r="A5" s="5" t="n">
        <v>1</v>
      </c>
      <c r="B5" s="5" t="s">
        <v>806</v>
      </c>
      <c r="C5" s="31" t="n">
        <v>-12772738.5346243</v>
      </c>
      <c r="D5" s="31" t="n">
        <v>1766053.74044663</v>
      </c>
      <c r="E5" s="31" t="n">
        <v>14538792.2750709</v>
      </c>
      <c r="F5" s="5" t="s">
        <v>37</v>
      </c>
      <c r="G5" s="31" t="n">
        <v>-12772738.5346243</v>
      </c>
      <c r="H5" s="5"/>
      <c r="I5" s="5" t="s">
        <v>362</v>
      </c>
    </row>
    <row r="6" customFormat="false" ht="15" hidden="false" customHeight="false" outlineLevel="0" collapsed="false">
      <c r="A6" s="5" t="n">
        <v>2</v>
      </c>
      <c r="B6" s="5" t="s">
        <v>807</v>
      </c>
      <c r="C6" s="31" t="n">
        <v>-2410207.11803756</v>
      </c>
      <c r="D6" s="31" t="n">
        <v>-8357077.50459082</v>
      </c>
      <c r="E6" s="31" t="n">
        <v>5946870.38655326</v>
      </c>
      <c r="F6" s="5" t="s">
        <v>39</v>
      </c>
      <c r="G6" s="31" t="n">
        <v>-8357077.50459082</v>
      </c>
      <c r="H6" s="5" t="s">
        <v>808</v>
      </c>
      <c r="I6" s="5" t="s">
        <v>809</v>
      </c>
    </row>
    <row r="7" customFormat="false" ht="15" hidden="false" customHeight="false" outlineLevel="0" collapsed="false">
      <c r="A7" s="5" t="n">
        <v>3</v>
      </c>
      <c r="B7" s="5" t="s">
        <v>810</v>
      </c>
      <c r="C7" s="31" t="n">
        <v>-7375999.25199201</v>
      </c>
      <c r="D7" s="31" t="n">
        <v>-2293855.58062935</v>
      </c>
      <c r="E7" s="31" t="n">
        <v>5082143.67136266</v>
      </c>
      <c r="F7" s="5" t="s">
        <v>37</v>
      </c>
      <c r="G7" s="31" t="n">
        <v>-7375999.25199201</v>
      </c>
      <c r="H7" s="5" t="s">
        <v>808</v>
      </c>
      <c r="I7" s="5" t="s">
        <v>92</v>
      </c>
    </row>
    <row r="8" customFormat="false" ht="15" hidden="false" customHeight="false" outlineLevel="0" collapsed="false">
      <c r="A8" s="5" t="n">
        <v>4</v>
      </c>
      <c r="B8" s="5" t="s">
        <v>811</v>
      </c>
      <c r="C8" s="31" t="n">
        <v>-2485489.44746807</v>
      </c>
      <c r="D8" s="31" t="n">
        <v>-7391073.41563408</v>
      </c>
      <c r="E8" s="31" t="n">
        <v>4905583.96816601</v>
      </c>
      <c r="F8" s="5" t="s">
        <v>39</v>
      </c>
      <c r="G8" s="31" t="n">
        <v>-7391073.41563408</v>
      </c>
      <c r="H8" s="5"/>
      <c r="I8" s="5" t="s">
        <v>252</v>
      </c>
    </row>
    <row r="9" customFormat="false" ht="15" hidden="false" customHeight="false" outlineLevel="0" collapsed="false">
      <c r="A9" s="5" t="n">
        <v>5</v>
      </c>
      <c r="B9" s="5" t="s">
        <v>812</v>
      </c>
      <c r="C9" s="31" t="n">
        <v>-2814524.27603899</v>
      </c>
      <c r="D9" s="31" t="n">
        <v>-7649248.8110175</v>
      </c>
      <c r="E9" s="31" t="n">
        <v>4834724.53497852</v>
      </c>
      <c r="F9" s="5" t="s">
        <v>39</v>
      </c>
      <c r="G9" s="31" t="n">
        <v>-7649248.8110175</v>
      </c>
      <c r="H9" s="5"/>
      <c r="I9" s="5" t="s">
        <v>350</v>
      </c>
    </row>
    <row r="10" customFormat="false" ht="15" hidden="false" customHeight="false" outlineLevel="0" collapsed="false">
      <c r="A10" s="5" t="n">
        <v>6</v>
      </c>
      <c r="B10" s="5" t="s">
        <v>813</v>
      </c>
      <c r="C10" s="31" t="n">
        <v>-2738425.50468105</v>
      </c>
      <c r="D10" s="31" t="n">
        <v>-7461840.76135631</v>
      </c>
      <c r="E10" s="31" t="n">
        <v>4723415.25667526</v>
      </c>
      <c r="F10" s="5" t="s">
        <v>39</v>
      </c>
      <c r="G10" s="31" t="n">
        <v>-7461840.76135631</v>
      </c>
      <c r="H10" s="5" t="s">
        <v>808</v>
      </c>
      <c r="I10" s="5" t="s">
        <v>814</v>
      </c>
    </row>
    <row r="11" customFormat="false" ht="15" hidden="false" customHeight="false" outlineLevel="0" collapsed="false">
      <c r="A11" s="5" t="n">
        <v>7</v>
      </c>
      <c r="B11" s="5" t="s">
        <v>815</v>
      </c>
      <c r="C11" s="31" t="n">
        <v>-2879030.56966333</v>
      </c>
      <c r="D11" s="31" t="n">
        <v>-7187864.18742413</v>
      </c>
      <c r="E11" s="31" t="n">
        <v>4308833.6177608</v>
      </c>
      <c r="F11" s="5" t="s">
        <v>39</v>
      </c>
      <c r="G11" s="31" t="n">
        <v>-7187864.18742413</v>
      </c>
      <c r="H11" s="5"/>
      <c r="I11" s="5" t="s">
        <v>196</v>
      </c>
    </row>
    <row r="12" customFormat="false" ht="15" hidden="false" customHeight="false" outlineLevel="0" collapsed="false">
      <c r="A12" s="5" t="n">
        <v>8</v>
      </c>
      <c r="B12" s="5" t="s">
        <v>816</v>
      </c>
      <c r="C12" s="31" t="n">
        <v>-2947011.44908674</v>
      </c>
      <c r="D12" s="31" t="n">
        <v>-7237858.53403316</v>
      </c>
      <c r="E12" s="31" t="n">
        <v>4290847.08494643</v>
      </c>
      <c r="F12" s="5" t="s">
        <v>39</v>
      </c>
      <c r="G12" s="31" t="n">
        <v>-7237858.53403316</v>
      </c>
      <c r="H12" s="5" t="s">
        <v>808</v>
      </c>
      <c r="I12" s="5" t="s">
        <v>817</v>
      </c>
    </row>
    <row r="13" customFormat="false" ht="15" hidden="false" customHeight="false" outlineLevel="0" collapsed="false">
      <c r="A13" s="5" t="n">
        <v>9</v>
      </c>
      <c r="B13" s="5" t="s">
        <v>818</v>
      </c>
      <c r="C13" s="31" t="n">
        <v>-3333465.70246783</v>
      </c>
      <c r="D13" s="31" t="n">
        <v>-6639429.92700198</v>
      </c>
      <c r="E13" s="31" t="n">
        <v>3305964.22453415</v>
      </c>
      <c r="F13" s="5" t="s">
        <v>39</v>
      </c>
      <c r="G13" s="31" t="n">
        <v>-6639429.92700198</v>
      </c>
      <c r="H13" s="5"/>
      <c r="I13" s="5" t="s">
        <v>819</v>
      </c>
    </row>
    <row r="14" customFormat="false" ht="15" hidden="false" customHeight="false" outlineLevel="0" collapsed="false">
      <c r="A14" s="5" t="n">
        <v>10</v>
      </c>
      <c r="B14" s="5" t="s">
        <v>820</v>
      </c>
      <c r="C14" s="31" t="n">
        <v>-3134179.06378981</v>
      </c>
      <c r="D14" s="31" t="n">
        <v>-6162814.8765073</v>
      </c>
      <c r="E14" s="31" t="n">
        <v>3028635.81271749</v>
      </c>
      <c r="F14" s="5" t="s">
        <v>39</v>
      </c>
      <c r="G14" s="31" t="n">
        <v>-6162814.8765073</v>
      </c>
      <c r="H14" s="5"/>
      <c r="I14" s="5" t="s">
        <v>821</v>
      </c>
    </row>
    <row r="15" customFormat="false" ht="15" hidden="false" customHeight="false" outlineLevel="0" collapsed="false">
      <c r="A15" s="5" t="n">
        <v>11</v>
      </c>
      <c r="B15" s="5" t="s">
        <v>822</v>
      </c>
      <c r="C15" s="31" t="n">
        <v>-3414588.36278582</v>
      </c>
      <c r="D15" s="31" t="n">
        <v>-6065748.4522387</v>
      </c>
      <c r="E15" s="31" t="n">
        <v>2651160.08945288</v>
      </c>
      <c r="F15" s="5" t="s">
        <v>39</v>
      </c>
      <c r="G15" s="31" t="n">
        <v>-6065748.4522387</v>
      </c>
      <c r="H15" s="5"/>
      <c r="I15" s="5" t="s">
        <v>255</v>
      </c>
    </row>
    <row r="16" customFormat="false" ht="15" hidden="false" customHeight="false" outlineLevel="0" collapsed="false">
      <c r="A16" s="5" t="n">
        <v>12</v>
      </c>
      <c r="B16" s="5" t="s">
        <v>823</v>
      </c>
      <c r="C16" s="31" t="n">
        <v>-6234273.21028512</v>
      </c>
      <c r="D16" s="31" t="n">
        <v>-4108398.76613545</v>
      </c>
      <c r="E16" s="31" t="n">
        <v>2125874.44414967</v>
      </c>
      <c r="F16" s="5" t="s">
        <v>37</v>
      </c>
      <c r="G16" s="31" t="n">
        <v>-6234273.21028512</v>
      </c>
      <c r="H16" s="5"/>
      <c r="I16" s="5" t="s">
        <v>824</v>
      </c>
    </row>
    <row r="17" customFormat="false" ht="15" hidden="false" customHeight="false" outlineLevel="0" collapsed="false">
      <c r="A17" s="5" t="n">
        <v>13</v>
      </c>
      <c r="B17" s="5" t="s">
        <v>825</v>
      </c>
      <c r="C17" s="31" t="n">
        <v>-3812491.91103378</v>
      </c>
      <c r="D17" s="31" t="n">
        <v>-5921700.9416545</v>
      </c>
      <c r="E17" s="31" t="n">
        <v>2109209.03062072</v>
      </c>
      <c r="F17" s="5" t="s">
        <v>39</v>
      </c>
      <c r="G17" s="31" t="n">
        <v>-5921700.9416545</v>
      </c>
      <c r="H17" s="5"/>
      <c r="I17" s="5" t="s">
        <v>826</v>
      </c>
    </row>
    <row r="18" customFormat="false" ht="15" hidden="false" customHeight="false" outlineLevel="0" collapsed="false">
      <c r="A18" s="5" t="n">
        <v>14</v>
      </c>
      <c r="B18" s="5" t="s">
        <v>827</v>
      </c>
      <c r="C18" s="31" t="n">
        <v>-3978032.70006022</v>
      </c>
      <c r="D18" s="31" t="n">
        <v>-5973801.5518289</v>
      </c>
      <c r="E18" s="31" t="n">
        <v>1995768.85176868</v>
      </c>
      <c r="F18" s="5" t="s">
        <v>39</v>
      </c>
      <c r="G18" s="31" t="n">
        <v>-5973801.5518289</v>
      </c>
      <c r="H18" s="5"/>
      <c r="I18" s="5" t="s">
        <v>828</v>
      </c>
    </row>
    <row r="19" customFormat="false" ht="15" hidden="false" customHeight="false" outlineLevel="0" collapsed="false">
      <c r="A19" s="5" t="n">
        <v>15</v>
      </c>
      <c r="B19" s="5" t="s">
        <v>829</v>
      </c>
      <c r="C19" s="31" t="n">
        <v>-3900214.69212241</v>
      </c>
      <c r="D19" s="31" t="n">
        <v>-5879690.62421371</v>
      </c>
      <c r="E19" s="31" t="n">
        <v>1979475.93209131</v>
      </c>
      <c r="F19" s="5" t="s">
        <v>39</v>
      </c>
      <c r="G19" s="31" t="n">
        <v>-5879690.62421371</v>
      </c>
      <c r="H19" s="5" t="s">
        <v>808</v>
      </c>
      <c r="I19" s="5" t="s">
        <v>258</v>
      </c>
    </row>
    <row r="20" customFormat="false" ht="15" hidden="false" customHeight="false" outlineLevel="0" collapsed="false">
      <c r="A20" s="5" t="n">
        <v>16</v>
      </c>
      <c r="B20" s="5" t="s">
        <v>830</v>
      </c>
      <c r="C20" s="31" t="n">
        <v>-5289067.97643996</v>
      </c>
      <c r="D20" s="31" t="n">
        <v>-3442743.64135691</v>
      </c>
      <c r="E20" s="31" t="n">
        <v>1846324.33508305</v>
      </c>
      <c r="F20" s="5" t="s">
        <v>37</v>
      </c>
      <c r="G20" s="31" t="n">
        <v>-5289067.97643996</v>
      </c>
      <c r="H20" s="5" t="s">
        <v>808</v>
      </c>
      <c r="I20" s="5" t="s">
        <v>831</v>
      </c>
    </row>
    <row r="21" customFormat="false" ht="15" hidden="false" customHeight="false" outlineLevel="0" collapsed="false">
      <c r="A21" s="5" t="n">
        <v>17</v>
      </c>
      <c r="B21" s="5" t="s">
        <v>832</v>
      </c>
      <c r="C21" s="31" t="n">
        <v>-4864033.23706707</v>
      </c>
      <c r="D21" s="31" t="n">
        <v>-3601181.410981</v>
      </c>
      <c r="E21" s="31" t="n">
        <v>1262851.82608607</v>
      </c>
      <c r="F21" s="5" t="s">
        <v>37</v>
      </c>
      <c r="G21" s="31" t="n">
        <v>-4864033.23706707</v>
      </c>
      <c r="H21" s="5"/>
      <c r="I21" s="5" t="s">
        <v>81</v>
      </c>
    </row>
    <row r="22" customFormat="false" ht="15" hidden="false" customHeight="false" outlineLevel="0" collapsed="false">
      <c r="A22" s="5" t="n">
        <v>18</v>
      </c>
      <c r="B22" s="5" t="s">
        <v>833</v>
      </c>
      <c r="C22" s="31" t="n">
        <v>-4039138.03726618</v>
      </c>
      <c r="D22" s="31" t="n">
        <v>-5171861.93064039</v>
      </c>
      <c r="E22" s="31" t="n">
        <v>1132723.89337421</v>
      </c>
      <c r="F22" s="5" t="s">
        <v>39</v>
      </c>
      <c r="G22" s="31" t="n">
        <v>-5171861.93064039</v>
      </c>
      <c r="H22" s="5"/>
      <c r="I22" s="5" t="s">
        <v>261</v>
      </c>
    </row>
    <row r="23" customFormat="false" ht="15" hidden="false" customHeight="false" outlineLevel="0" collapsed="false">
      <c r="A23" s="5" t="n">
        <v>19</v>
      </c>
      <c r="B23" s="5" t="s">
        <v>834</v>
      </c>
      <c r="C23" s="31" t="n">
        <v>-4198300.77894304</v>
      </c>
      <c r="D23" s="31" t="n">
        <v>-4967289.34198768</v>
      </c>
      <c r="E23" s="31" t="n">
        <v>768988.563044636</v>
      </c>
      <c r="F23" s="5" t="s">
        <v>39</v>
      </c>
      <c r="G23" s="31" t="n">
        <v>-4967289.34198768</v>
      </c>
      <c r="H23" s="5"/>
      <c r="I23" s="5" t="s">
        <v>327</v>
      </c>
    </row>
    <row r="24" customFormat="false" ht="15" hidden="false" customHeight="false" outlineLevel="0" collapsed="false">
      <c r="A24" s="5" t="n">
        <v>20</v>
      </c>
      <c r="B24" s="5" t="s">
        <v>835</v>
      </c>
      <c r="C24" s="31" t="n">
        <v>-4829060.51165127</v>
      </c>
      <c r="D24" s="31" t="n">
        <v>-4134270.27952424</v>
      </c>
      <c r="E24" s="31" t="n">
        <v>694790.232127026</v>
      </c>
      <c r="F24" s="5" t="s">
        <v>37</v>
      </c>
      <c r="G24" s="31" t="n">
        <v>-4829060.51165127</v>
      </c>
      <c r="H24" s="5"/>
      <c r="I24" s="5" t="s">
        <v>137</v>
      </c>
    </row>
    <row r="25" customFormat="false" ht="15" hidden="false" customHeight="false" outlineLevel="0" collapsed="false">
      <c r="A25" s="5" t="n">
        <v>21</v>
      </c>
      <c r="B25" s="5" t="s">
        <v>836</v>
      </c>
      <c r="C25" s="31" t="n">
        <v>-4797744.32906433</v>
      </c>
      <c r="D25" s="31" t="n">
        <v>-4201698.75612446</v>
      </c>
      <c r="E25" s="31" t="n">
        <v>596045.57293987</v>
      </c>
      <c r="F25" s="5" t="s">
        <v>37</v>
      </c>
      <c r="G25" s="31" t="n">
        <v>-4797744.32906433</v>
      </c>
      <c r="H25" s="5"/>
      <c r="I25" s="5" t="s">
        <v>102</v>
      </c>
    </row>
    <row r="26" customFormat="false" ht="15" hidden="false" customHeight="false" outlineLevel="0" collapsed="false">
      <c r="A26" s="5" t="n">
        <v>22</v>
      </c>
      <c r="B26" s="5" t="s">
        <v>837</v>
      </c>
      <c r="C26" s="31" t="n">
        <v>-4189318.92005319</v>
      </c>
      <c r="D26" s="31" t="n">
        <v>-4726018.24672014</v>
      </c>
      <c r="E26" s="31" t="n">
        <v>536699.326666954</v>
      </c>
      <c r="F26" s="5" t="s">
        <v>39</v>
      </c>
      <c r="G26" s="31" t="n">
        <v>-4726018.24672014</v>
      </c>
      <c r="H26" s="5"/>
      <c r="I26" s="5" t="s">
        <v>65</v>
      </c>
    </row>
    <row r="27" customFormat="false" ht="15" hidden="false" customHeight="false" outlineLevel="0" collapsed="false">
      <c r="A27" s="5" t="n">
        <v>23</v>
      </c>
      <c r="B27" s="5" t="s">
        <v>838</v>
      </c>
      <c r="C27" s="31" t="n">
        <v>-4219118.16590073</v>
      </c>
      <c r="D27" s="31" t="n">
        <v>-4680719.26918946</v>
      </c>
      <c r="E27" s="31" t="n">
        <v>461601.103288738</v>
      </c>
      <c r="F27" s="5" t="s">
        <v>39</v>
      </c>
      <c r="G27" s="31" t="n">
        <v>-4680719.26918946</v>
      </c>
      <c r="H27" s="5"/>
      <c r="I27" s="5" t="s">
        <v>839</v>
      </c>
    </row>
    <row r="28" customFormat="false" ht="15" hidden="false" customHeight="false" outlineLevel="0" collapsed="false">
      <c r="A28" s="5" t="n">
        <v>24</v>
      </c>
      <c r="B28" s="5" t="s">
        <v>840</v>
      </c>
      <c r="C28" s="31" t="n">
        <v>-4326176.64133059</v>
      </c>
      <c r="D28" s="31" t="n">
        <v>-4738009.81099925</v>
      </c>
      <c r="E28" s="31" t="n">
        <v>411833.169668661</v>
      </c>
      <c r="F28" s="5" t="s">
        <v>39</v>
      </c>
      <c r="G28" s="31" t="n">
        <v>-4738009.81099925</v>
      </c>
      <c r="H28" s="5"/>
      <c r="I28" s="5" t="s">
        <v>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0"/>
    <col collapsed="false" customWidth="true" hidden="false" outlineLevel="0" max="4" min="3" style="0" width="18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842</v>
      </c>
    </row>
    <row r="2" customFormat="false" ht="15" hidden="false" customHeight="false" outlineLevel="0" collapsed="false">
      <c r="A2" s="0" t="str">
        <f aca="false">"Criteria 1-3 are LIVE for the active scenario: "&amp;Inputs!D3&amp;". Criterion 4 is the base-case robustness test from model_core.py."</f>
        <v>Criteria 1-3 are LIVE for the active scenario: Base. Criterion 4 is the base-case robustness test from model_core.py.</v>
      </c>
    </row>
    <row r="4" customFormat="false" ht="15" hidden="false" customHeight="false" outlineLevel="0" collapsed="false">
      <c r="A4" s="6" t="s">
        <v>843</v>
      </c>
      <c r="B4" s="6" t="s">
        <v>844</v>
      </c>
      <c r="C4" s="6" t="s">
        <v>845</v>
      </c>
      <c r="D4" s="6" t="s">
        <v>846</v>
      </c>
      <c r="E4" s="6" t="s">
        <v>847</v>
      </c>
    </row>
    <row r="5" customFormat="false" ht="15" hidden="false" customHeight="false" outlineLevel="0" collapsed="false">
      <c r="A5" s="0" t="n">
        <v>1</v>
      </c>
      <c r="B5" s="0" t="s">
        <v>848</v>
      </c>
      <c r="C5" s="36" t="n">
        <f aca="false">Valuation!$B$5</f>
        <v>-4481665.39558775</v>
      </c>
      <c r="D5" s="8" t="s">
        <v>849</v>
      </c>
      <c r="E5" s="0" t="str">
        <f aca="false">IF(C5&gt;0,"PASS","FAIL")</f>
        <v>FAIL</v>
      </c>
    </row>
    <row r="6" customFormat="false" ht="15" hidden="false" customHeight="false" outlineLevel="0" collapsed="false">
      <c r="A6" s="0" t="n">
        <v>2</v>
      </c>
      <c r="B6" s="0" t="s">
        <v>850</v>
      </c>
      <c r="C6" s="37" t="str">
        <f aca="false">Valuation!$B$9</f>
        <v>not reached</v>
      </c>
      <c r="D6" s="8" t="s">
        <v>851</v>
      </c>
      <c r="E6" s="0" t="str">
        <f aca="false">IF(ISNUMBER(C6),IF(C6&lt;7,"PASS","FAIL"),"FAIL")</f>
        <v>FAIL</v>
      </c>
    </row>
    <row r="7" customFormat="false" ht="15" hidden="false" customHeight="false" outlineLevel="0" collapsed="false">
      <c r="A7" s="0" t="n">
        <v>3</v>
      </c>
      <c r="B7" s="0" t="s">
        <v>852</v>
      </c>
      <c r="C7" s="36" t="n">
        <f aca="false">Valuation!$B$11</f>
        <v>530374.2601424</v>
      </c>
      <c r="D7" s="8" t="s">
        <v>849</v>
      </c>
      <c r="E7" s="0" t="str">
        <f aca="false">IF(C7&gt;0,"PASS","FAIL")</f>
        <v>PASS</v>
      </c>
    </row>
    <row r="8" customFormat="false" ht="15" hidden="false" customHeight="false" outlineLevel="0" collapsed="false">
      <c r="A8" s="0" t="n">
        <v>4</v>
      </c>
      <c r="B8" s="0" t="s">
        <v>853</v>
      </c>
      <c r="C8" s="31" t="n">
        <v>0</v>
      </c>
      <c r="D8" s="8" t="s">
        <v>854</v>
      </c>
      <c r="E8" s="0" t="str">
        <f aca="false">IF(C8&gt;=2,"PASS","FAIL")</f>
        <v>FAIL</v>
      </c>
    </row>
    <row r="10" customFormat="false" ht="15" hidden="false" customHeight="false" outlineLevel="0" collapsed="false">
      <c r="B10" s="0" t="s">
        <v>855</v>
      </c>
      <c r="C10" s="13" t="n">
        <f aca="false">Valuation!$B$16</f>
        <v>-0.814848253743228</v>
      </c>
      <c r="E10" s="0" t="str">
        <f aca="false">IF(AND(C10&gt;=-0.1,C10&lt;=0),"YES","NO")</f>
        <v>NO</v>
      </c>
    </row>
    <row r="12" customFormat="false" ht="16.15" hidden="false" customHeight="false" outlineLevel="0" collapsed="false">
      <c r="B12" s="38" t="s">
        <v>856</v>
      </c>
      <c r="C12" s="39" t="str">
        <f aca="false">IF(AND(E5="PASS",E6="PASS",E7="PASS",E8="PASS"),"VIABLE",IF(OR(AND(E5="PASS",E6="PASS",E7="PASS"),E10="YES"),"BORDERLINE","NOT VIABLE"))</f>
        <v>NOT VIABLE</v>
      </c>
    </row>
    <row r="14" customFormat="false" ht="28.35" hidden="false" customHeight="false" outlineLevel="0" collapsed="false">
      <c r="A14" s="6"/>
      <c r="B14" s="6" t="s">
        <v>857</v>
      </c>
      <c r="C14" s="6" t="s">
        <v>803</v>
      </c>
      <c r="D14" s="6" t="s">
        <v>802</v>
      </c>
      <c r="E14" s="6" t="s">
        <v>858</v>
      </c>
    </row>
    <row r="15" customFormat="false" ht="15" hidden="false" customHeight="false" outlineLevel="0" collapsed="false">
      <c r="B15" s="0" t="s">
        <v>830</v>
      </c>
      <c r="C15" s="31" t="n">
        <v>-5289067.97643996</v>
      </c>
      <c r="D15" s="8" t="s">
        <v>37</v>
      </c>
      <c r="E15" s="8" t="s">
        <v>859</v>
      </c>
    </row>
    <row r="16" customFormat="false" ht="15" hidden="false" customHeight="false" outlineLevel="0" collapsed="false">
      <c r="B16" s="0" t="s">
        <v>829</v>
      </c>
      <c r="C16" s="31" t="n">
        <v>-5879690.62421371</v>
      </c>
      <c r="D16" s="8" t="s">
        <v>39</v>
      </c>
      <c r="E16" s="8" t="s">
        <v>859</v>
      </c>
    </row>
    <row r="17" customFormat="false" ht="15" hidden="false" customHeight="false" outlineLevel="0" collapsed="false">
      <c r="B17" s="0" t="s">
        <v>807</v>
      </c>
      <c r="C17" s="31" t="n">
        <v>-8357077.50459082</v>
      </c>
      <c r="D17" s="8" t="s">
        <v>39</v>
      </c>
      <c r="E17" s="8" t="s">
        <v>859</v>
      </c>
    </row>
    <row r="18" customFormat="false" ht="15" hidden="false" customHeight="false" outlineLevel="0" collapsed="false">
      <c r="B18" s="0" t="s">
        <v>813</v>
      </c>
      <c r="C18" s="31" t="n">
        <v>-7461840.76135631</v>
      </c>
      <c r="D18" s="8" t="s">
        <v>39</v>
      </c>
      <c r="E18" s="8" t="s">
        <v>859</v>
      </c>
    </row>
    <row r="19" customFormat="false" ht="15" hidden="false" customHeight="false" outlineLevel="0" collapsed="false">
      <c r="B19" s="0" t="s">
        <v>810</v>
      </c>
      <c r="C19" s="31" t="n">
        <v>-7375999.25199201</v>
      </c>
      <c r="D19" s="8" t="s">
        <v>37</v>
      </c>
      <c r="E19" s="8" t="s">
        <v>859</v>
      </c>
    </row>
    <row r="20" customFormat="false" ht="15" hidden="false" customHeight="false" outlineLevel="0" collapsed="false">
      <c r="B20" s="0" t="s">
        <v>816</v>
      </c>
      <c r="C20" s="31" t="n">
        <v>-7237858.53403316</v>
      </c>
      <c r="D20" s="8" t="s">
        <v>39</v>
      </c>
      <c r="E20" s="8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13" min="3" style="0" width="15"/>
  </cols>
  <sheetData>
    <row r="1" customFormat="false" ht="17.35" hidden="false" customHeight="false" outlineLevel="0" collapsed="false">
      <c r="A1" s="1" t="s">
        <v>860</v>
      </c>
    </row>
    <row r="2" customFormat="false" ht="45" hidden="false" customHeight="true" outlineLevel="0" collapsed="false">
      <c r="A2" s="33" t="s">
        <v>861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customFormat="false" ht="15" hidden="false" customHeight="false" outlineLevel="0" collapsed="false">
      <c r="A3" s="2" t="s">
        <v>862</v>
      </c>
      <c r="B3" s="2" t="n">
        <f aca="false">option_sel</f>
        <v>0</v>
      </c>
      <c r="C3" s="2" t="str">
        <f aca="false">IF(option_sel=0,"none (base case)",INDEX($C$6:$M$6,1,option_sel))</f>
        <v>none (base case)</v>
      </c>
      <c r="E3" s="8" t="s">
        <v>863</v>
      </c>
      <c r="G3" s="26" t="n">
        <f aca="false">Valuation!$B$5</f>
        <v>-4481665.39558775</v>
      </c>
    </row>
    <row r="5" customFormat="false" ht="15" hidden="false" customHeight="false" outlineLevel="0" collapsed="false">
      <c r="A5" s="6" t="s">
        <v>864</v>
      </c>
      <c r="B5" s="6" t="s">
        <v>865</v>
      </c>
      <c r="C5" s="6" t="s">
        <v>866</v>
      </c>
      <c r="D5" s="6" t="s">
        <v>867</v>
      </c>
      <c r="E5" s="6" t="s">
        <v>868</v>
      </c>
      <c r="F5" s="6" t="s">
        <v>869</v>
      </c>
      <c r="G5" s="6" t="s">
        <v>870</v>
      </c>
      <c r="H5" s="6" t="s">
        <v>871</v>
      </c>
      <c r="I5" s="6" t="s">
        <v>872</v>
      </c>
      <c r="J5" s="6" t="s">
        <v>873</v>
      </c>
      <c r="K5" s="6" t="s">
        <v>874</v>
      </c>
      <c r="L5" s="6" t="s">
        <v>875</v>
      </c>
      <c r="M5" s="6" t="s">
        <v>876</v>
      </c>
    </row>
    <row r="6" customFormat="false" ht="75" hidden="false" customHeight="true" outlineLevel="0" collapsed="false">
      <c r="A6" s="2" t="s">
        <v>877</v>
      </c>
      <c r="C6" s="40" t="s">
        <v>878</v>
      </c>
      <c r="D6" s="40" t="s">
        <v>879</v>
      </c>
      <c r="E6" s="40" t="s">
        <v>880</v>
      </c>
      <c r="F6" s="40" t="s">
        <v>881</v>
      </c>
      <c r="G6" s="40" t="s">
        <v>882</v>
      </c>
      <c r="H6" s="40" t="s">
        <v>883</v>
      </c>
      <c r="I6" s="40" t="s">
        <v>884</v>
      </c>
      <c r="J6" s="40" t="s">
        <v>885</v>
      </c>
      <c r="K6" s="40" t="s">
        <v>886</v>
      </c>
      <c r="L6" s="40" t="s">
        <v>887</v>
      </c>
      <c r="M6" s="40" t="s">
        <v>888</v>
      </c>
    </row>
    <row r="7" customFormat="false" ht="15" hidden="false" customHeight="false" outlineLevel="0" collapsed="false">
      <c r="A7" s="0" t="s">
        <v>480</v>
      </c>
      <c r="B7" s="5" t="n">
        <v>0</v>
      </c>
      <c r="C7" s="7" t="n">
        <v>1</v>
      </c>
      <c r="D7" s="7" t="n">
        <v>1</v>
      </c>
      <c r="E7" s="7" t="n">
        <v>1</v>
      </c>
      <c r="G7" s="7" t="n">
        <v>1</v>
      </c>
      <c r="H7" s="7" t="n">
        <v>1</v>
      </c>
      <c r="I7" s="7" t="n">
        <v>1</v>
      </c>
      <c r="J7" s="7" t="n">
        <v>1</v>
      </c>
      <c r="K7" s="7" t="n">
        <v>1</v>
      </c>
    </row>
    <row r="8" customFormat="false" ht="15" hidden="false" customHeight="false" outlineLevel="0" collapsed="false">
      <c r="A8" s="0" t="s">
        <v>482</v>
      </c>
      <c r="B8" s="5" t="n">
        <v>0</v>
      </c>
      <c r="D8" s="7" t="n">
        <v>1</v>
      </c>
      <c r="E8" s="7" t="n">
        <v>1</v>
      </c>
      <c r="L8" s="7" t="n">
        <v>1</v>
      </c>
      <c r="M8" s="7" t="n">
        <v>1</v>
      </c>
    </row>
    <row r="9" customFormat="false" ht="15" hidden="false" customHeight="false" outlineLevel="0" collapsed="false">
      <c r="A9" s="0" t="s">
        <v>485</v>
      </c>
      <c r="B9" s="5" t="n">
        <v>0</v>
      </c>
      <c r="D9" s="7" t="n">
        <v>2029</v>
      </c>
      <c r="E9" s="7" t="n">
        <v>2029</v>
      </c>
      <c r="L9" s="7" t="n">
        <v>2029</v>
      </c>
      <c r="M9" s="7" t="n">
        <v>2029</v>
      </c>
    </row>
    <row r="10" customFormat="false" ht="15" hidden="false" customHeight="false" outlineLevel="0" collapsed="false">
      <c r="A10" s="0" t="s">
        <v>488</v>
      </c>
      <c r="B10" s="5" t="n">
        <v>0</v>
      </c>
      <c r="D10" s="7" t="n">
        <v>40500</v>
      </c>
      <c r="E10" s="7" t="n">
        <v>40500</v>
      </c>
      <c r="L10" s="7" t="n">
        <v>40500</v>
      </c>
      <c r="M10" s="7" t="n">
        <v>40500</v>
      </c>
    </row>
    <row r="11" customFormat="false" ht="15" hidden="false" customHeight="false" outlineLevel="0" collapsed="false">
      <c r="A11" s="0" t="s">
        <v>490</v>
      </c>
      <c r="B11" s="5" t="n">
        <v>0</v>
      </c>
      <c r="D11" s="7" t="n">
        <v>2000000</v>
      </c>
      <c r="E11" s="7" t="n">
        <v>400000</v>
      </c>
      <c r="L11" s="7" t="n">
        <v>400000</v>
      </c>
      <c r="M11" s="7" t="n">
        <v>400000</v>
      </c>
    </row>
    <row r="12" customFormat="false" ht="15" hidden="false" customHeight="false" outlineLevel="0" collapsed="false">
      <c r="A12" s="0" t="s">
        <v>494</v>
      </c>
      <c r="B12" s="5" t="n">
        <v>0</v>
      </c>
      <c r="D12" s="7" t="n">
        <v>10</v>
      </c>
      <c r="E12" s="7" t="n">
        <v>10</v>
      </c>
      <c r="L12" s="7" t="n">
        <v>10</v>
      </c>
      <c r="M12" s="7" t="n">
        <v>10</v>
      </c>
    </row>
    <row r="13" customFormat="false" ht="15" hidden="false" customHeight="false" outlineLevel="0" collapsed="false">
      <c r="A13" s="0" t="s">
        <v>496</v>
      </c>
      <c r="B13" s="5" t="n">
        <v>0</v>
      </c>
      <c r="D13" s="7" t="n">
        <v>100</v>
      </c>
      <c r="E13" s="7" t="n">
        <v>0</v>
      </c>
      <c r="L13" s="7" t="n">
        <v>0</v>
      </c>
      <c r="M13" s="7" t="n">
        <v>0</v>
      </c>
    </row>
    <row r="14" customFormat="false" ht="15" hidden="false" customHeight="false" outlineLevel="0" collapsed="false">
      <c r="A14" s="0" t="s">
        <v>492</v>
      </c>
      <c r="B14" s="5" t="n">
        <v>0</v>
      </c>
      <c r="E14" s="7" t="n">
        <v>7.5</v>
      </c>
      <c r="L14" s="7" t="n">
        <v>7.5</v>
      </c>
      <c r="M14" s="7" t="n">
        <v>7.5</v>
      </c>
    </row>
    <row r="15" customFormat="false" ht="15" hidden="false" customHeight="false" outlineLevel="0" collapsed="false">
      <c r="A15" s="0" t="s">
        <v>453</v>
      </c>
      <c r="B15" s="5" t="n">
        <v>0.3</v>
      </c>
      <c r="E15" s="7" t="n">
        <v>0</v>
      </c>
      <c r="L15" s="7" t="n">
        <v>0</v>
      </c>
      <c r="M15" s="7" t="n">
        <v>0</v>
      </c>
    </row>
    <row r="16" customFormat="false" ht="15" hidden="false" customHeight="false" outlineLevel="0" collapsed="false">
      <c r="A16" s="0" t="s">
        <v>456</v>
      </c>
      <c r="B16" s="5" t="n">
        <v>0.4</v>
      </c>
      <c r="E16" s="7" t="n">
        <v>0</v>
      </c>
      <c r="L16" s="7" t="n">
        <v>0</v>
      </c>
      <c r="M16" s="7" t="n">
        <v>0</v>
      </c>
    </row>
    <row r="17" customFormat="false" ht="15" hidden="false" customHeight="false" outlineLevel="0" collapsed="false">
      <c r="A17" s="0" t="s">
        <v>458</v>
      </c>
      <c r="B17" s="5" t="n">
        <v>3</v>
      </c>
      <c r="E17" s="7" t="n">
        <v>1</v>
      </c>
      <c r="L17" s="7" t="n">
        <v>1</v>
      </c>
      <c r="M17" s="7" t="n">
        <v>1</v>
      </c>
    </row>
    <row r="18" customFormat="false" ht="15" hidden="false" customHeight="false" outlineLevel="0" collapsed="false">
      <c r="A18" s="0" t="s">
        <v>111</v>
      </c>
      <c r="B18" s="5" t="n">
        <v>4</v>
      </c>
      <c r="F18" s="7" t="n">
        <v>3.3</v>
      </c>
      <c r="L18" s="7" t="n">
        <v>3.3</v>
      </c>
      <c r="M18" s="7" t="n">
        <v>3.3</v>
      </c>
    </row>
    <row r="19" customFormat="false" ht="15" hidden="false" customHeight="false" outlineLevel="0" collapsed="false">
      <c r="A19" s="0" t="s">
        <v>115</v>
      </c>
      <c r="B19" s="5" t="n">
        <v>1</v>
      </c>
      <c r="F19" s="7" t="n">
        <v>0.2</v>
      </c>
      <c r="L19" s="7" t="n">
        <v>0.2</v>
      </c>
      <c r="M19" s="7" t="n">
        <v>0.2</v>
      </c>
    </row>
    <row r="20" customFormat="false" ht="15" hidden="false" customHeight="false" outlineLevel="0" collapsed="false">
      <c r="A20" s="0" t="s">
        <v>117</v>
      </c>
      <c r="B20" s="5" t="n">
        <v>0.5</v>
      </c>
      <c r="F20" s="7" t="n">
        <v>0.2</v>
      </c>
      <c r="L20" s="7" t="n">
        <v>0.2</v>
      </c>
      <c r="M20" s="7" t="n">
        <v>0.2</v>
      </c>
    </row>
    <row r="21" customFormat="false" ht="15" hidden="false" customHeight="false" outlineLevel="0" collapsed="false">
      <c r="A21" s="0" t="s">
        <v>123</v>
      </c>
      <c r="B21" s="5" t="n">
        <v>300000</v>
      </c>
      <c r="F21" s="7" t="n">
        <v>100000</v>
      </c>
      <c r="L21" s="7" t="n">
        <v>100000</v>
      </c>
      <c r="M21" s="7" t="n">
        <v>100000</v>
      </c>
    </row>
    <row r="22" customFormat="false" ht="15" hidden="false" customHeight="false" outlineLevel="0" collapsed="false">
      <c r="A22" s="0" t="s">
        <v>95</v>
      </c>
      <c r="B22" s="5" t="n">
        <v>50</v>
      </c>
      <c r="F22" s="7" t="n">
        <v>55</v>
      </c>
      <c r="G22" s="7" t="n">
        <v>75</v>
      </c>
      <c r="L22" s="7" t="n">
        <v>75</v>
      </c>
      <c r="M22" s="7" t="n">
        <v>75</v>
      </c>
    </row>
    <row r="23" customFormat="false" ht="15" hidden="false" customHeight="false" outlineLevel="0" collapsed="false">
      <c r="A23" s="0" t="s">
        <v>98</v>
      </c>
      <c r="B23" s="5" t="n">
        <v>79</v>
      </c>
      <c r="F23" s="7" t="n">
        <v>85</v>
      </c>
      <c r="G23" s="7" t="n">
        <v>95</v>
      </c>
      <c r="L23" s="7" t="n">
        <v>95</v>
      </c>
      <c r="M23" s="7" t="n">
        <v>95</v>
      </c>
    </row>
    <row r="24" customFormat="false" ht="15" hidden="false" customHeight="false" outlineLevel="0" collapsed="false">
      <c r="A24" s="0" t="s">
        <v>327</v>
      </c>
      <c r="B24" s="5" t="n">
        <v>2.5</v>
      </c>
      <c r="F24" s="7" t="n">
        <v>3.5</v>
      </c>
      <c r="L24" s="7" t="n">
        <v>3.5</v>
      </c>
      <c r="M24" s="7" t="n">
        <v>3.5</v>
      </c>
    </row>
    <row r="25" customFormat="false" ht="15" hidden="false" customHeight="false" outlineLevel="0" collapsed="false">
      <c r="A25" s="0" t="s">
        <v>137</v>
      </c>
      <c r="B25" s="5" t="n">
        <v>25</v>
      </c>
      <c r="F25" s="7" t="n">
        <v>15</v>
      </c>
      <c r="L25" s="7" t="n">
        <v>15</v>
      </c>
      <c r="M25" s="7" t="n">
        <v>15</v>
      </c>
    </row>
    <row r="26" customFormat="false" ht="15" hidden="false" customHeight="false" outlineLevel="0" collapsed="false">
      <c r="A26" s="0" t="s">
        <v>476</v>
      </c>
      <c r="B26" s="5" t="n">
        <v>0</v>
      </c>
      <c r="G26" s="7" t="n">
        <v>-1</v>
      </c>
      <c r="L26" s="7" t="n">
        <v>-1</v>
      </c>
      <c r="M26" s="7" t="n">
        <v>-1</v>
      </c>
    </row>
    <row r="27" customFormat="false" ht="15" hidden="false" customHeight="false" outlineLevel="0" collapsed="false">
      <c r="A27" s="0" t="s">
        <v>498</v>
      </c>
      <c r="B27" s="5" t="n">
        <v>0</v>
      </c>
      <c r="H27" s="7" t="n">
        <v>1.5</v>
      </c>
    </row>
    <row r="28" customFormat="false" ht="15" hidden="false" customHeight="false" outlineLevel="0" collapsed="false">
      <c r="A28" s="0" t="s">
        <v>500</v>
      </c>
      <c r="B28" s="5" t="n">
        <v>0</v>
      </c>
      <c r="H28" s="7" t="n">
        <v>1.5</v>
      </c>
    </row>
    <row r="29" customFormat="false" ht="15" hidden="false" customHeight="false" outlineLevel="0" collapsed="false">
      <c r="A29" s="0" t="s">
        <v>502</v>
      </c>
      <c r="B29" s="5" t="n">
        <v>0</v>
      </c>
      <c r="H29" s="7" t="n">
        <v>2029</v>
      </c>
    </row>
    <row r="30" customFormat="false" ht="15" hidden="false" customHeight="false" outlineLevel="0" collapsed="false">
      <c r="A30" s="0" t="s">
        <v>468</v>
      </c>
      <c r="B30" s="5" t="n">
        <v>0</v>
      </c>
      <c r="H30" s="7" t="n">
        <v>150000</v>
      </c>
    </row>
    <row r="31" customFormat="false" ht="15" hidden="false" customHeight="false" outlineLevel="0" collapsed="false">
      <c r="A31" s="0" t="s">
        <v>474</v>
      </c>
      <c r="B31" s="5" t="n">
        <v>0</v>
      </c>
      <c r="H31" s="7" t="n">
        <v>40000</v>
      </c>
    </row>
    <row r="32" customFormat="false" ht="15" hidden="false" customHeight="false" outlineLevel="0" collapsed="false">
      <c r="A32" s="0" t="s">
        <v>81</v>
      </c>
      <c r="B32" s="5" t="n">
        <v>0.4</v>
      </c>
      <c r="I32" s="7" t="n">
        <v>1</v>
      </c>
    </row>
    <row r="33" customFormat="false" ht="15" hidden="false" customHeight="false" outlineLevel="0" collapsed="false">
      <c r="A33" s="0" t="s">
        <v>79</v>
      </c>
      <c r="B33" s="5" t="n">
        <v>20</v>
      </c>
      <c r="I33" s="7" t="n">
        <v>50</v>
      </c>
    </row>
    <row r="34" customFormat="false" ht="15" hidden="false" customHeight="false" outlineLevel="0" collapsed="false">
      <c r="A34" s="0" t="s">
        <v>92</v>
      </c>
      <c r="B34" s="5" t="n">
        <v>70000</v>
      </c>
      <c r="J34" s="7" t="n">
        <v>100000</v>
      </c>
      <c r="M34" s="7" t="n">
        <v>90000</v>
      </c>
    </row>
    <row r="35" customFormat="false" ht="15" hidden="false" customHeight="false" outlineLevel="0" collapsed="false">
      <c r="A35" s="0" t="s">
        <v>312</v>
      </c>
      <c r="B35" s="5" t="n">
        <v>7</v>
      </c>
      <c r="J35" s="7" t="n">
        <v>9</v>
      </c>
      <c r="M35" s="7" t="n">
        <v>8</v>
      </c>
    </row>
    <row r="36" customFormat="false" ht="15" hidden="false" customHeight="false" outlineLevel="0" collapsed="false">
      <c r="A36" s="0" t="s">
        <v>350</v>
      </c>
      <c r="B36" s="5" t="n">
        <v>20</v>
      </c>
      <c r="J36" s="7" t="n">
        <v>23</v>
      </c>
      <c r="K36" s="7" t="n">
        <v>15</v>
      </c>
      <c r="M36" s="7" t="n">
        <v>22</v>
      </c>
    </row>
    <row r="37" customFormat="false" ht="15" hidden="false" customHeight="false" outlineLevel="0" collapsed="false">
      <c r="A37" s="0" t="s">
        <v>336</v>
      </c>
      <c r="B37" s="5" t="n">
        <v>10</v>
      </c>
      <c r="K37" s="7" t="n">
        <v>15</v>
      </c>
    </row>
    <row r="38" customFormat="false" ht="15" hidden="false" customHeight="false" outlineLevel="0" collapsed="false">
      <c r="A38" s="0" t="s">
        <v>252</v>
      </c>
      <c r="B38" s="5" t="n">
        <v>32</v>
      </c>
      <c r="K38" s="7" t="n">
        <v>37</v>
      </c>
    </row>
    <row r="41" customFormat="false" ht="15" hidden="false" customHeight="false" outlineLevel="0" collapsed="false">
      <c r="A41" s="2" t="s">
        <v>889</v>
      </c>
    </row>
    <row r="42" customFormat="false" ht="28.35" hidden="false" customHeight="false" outlineLevel="0" collapsed="false">
      <c r="A42" s="6" t="s">
        <v>877</v>
      </c>
      <c r="B42" s="6" t="s">
        <v>777</v>
      </c>
      <c r="C42" s="6" t="s">
        <v>778</v>
      </c>
      <c r="D42" s="6" t="s">
        <v>890</v>
      </c>
      <c r="E42" s="6" t="s">
        <v>891</v>
      </c>
      <c r="F42" s="6" t="s">
        <v>892</v>
      </c>
      <c r="G42" s="6" t="s">
        <v>893</v>
      </c>
      <c r="H42" s="6" t="s">
        <v>894</v>
      </c>
      <c r="I42" s="6" t="s">
        <v>895</v>
      </c>
      <c r="J42" s="6" t="s">
        <v>896</v>
      </c>
      <c r="K42" s="6" t="s">
        <v>897</v>
      </c>
    </row>
    <row r="43" customFormat="false" ht="15" hidden="false" customHeight="false" outlineLevel="0" collapsed="false">
      <c r="A43" s="31" t="s">
        <v>898</v>
      </c>
      <c r="B43" s="31" t="n">
        <v>-4481665.39558776</v>
      </c>
      <c r="C43" s="34" t="n">
        <v>-0.0706382633148967</v>
      </c>
      <c r="D43" s="35" t="s">
        <v>899</v>
      </c>
      <c r="E43" s="31" t="n">
        <v>530374.260142399</v>
      </c>
      <c r="F43" s="31" t="n">
        <v>6835872.76477422</v>
      </c>
      <c r="G43" s="31" t="n">
        <v>5500000</v>
      </c>
      <c r="H43" s="31" t="s">
        <v>900</v>
      </c>
      <c r="I43" s="31" t="n">
        <v>0</v>
      </c>
      <c r="J43" s="31" t="s">
        <v>901</v>
      </c>
      <c r="K43" s="31"/>
    </row>
    <row r="44" customFormat="false" ht="15" hidden="false" customHeight="false" outlineLevel="0" collapsed="false">
      <c r="A44" s="31" t="s">
        <v>878</v>
      </c>
      <c r="B44" s="31" t="n">
        <v>-4383366.24450396</v>
      </c>
      <c r="C44" s="34" t="n">
        <v>-0.0899609289108631</v>
      </c>
      <c r="D44" s="35" t="s">
        <v>899</v>
      </c>
      <c r="E44" s="31" t="n">
        <v>506811.9049922</v>
      </c>
      <c r="F44" s="31" t="n">
        <v>6855141.75349979</v>
      </c>
      <c r="G44" s="31" t="n">
        <v>5500000</v>
      </c>
      <c r="H44" s="31" t="s">
        <v>900</v>
      </c>
      <c r="I44" s="31" t="n">
        <v>0</v>
      </c>
      <c r="J44" s="31" t="s">
        <v>901</v>
      </c>
      <c r="K44" s="31" t="n">
        <v>5</v>
      </c>
    </row>
    <row r="45" customFormat="false" ht="15" hidden="false" customHeight="false" outlineLevel="0" collapsed="false">
      <c r="A45" s="31" t="s">
        <v>879</v>
      </c>
      <c r="B45" s="31" t="n">
        <v>-3872697.21362319</v>
      </c>
      <c r="C45" s="34" t="n">
        <v>-0.0339908518425293</v>
      </c>
      <c r="D45" s="35" t="s">
        <v>899</v>
      </c>
      <c r="E45" s="31" t="n">
        <v>1028218.19986095</v>
      </c>
      <c r="F45" s="31" t="n">
        <v>8581964.15861281</v>
      </c>
      <c r="G45" s="31" t="n">
        <v>7500000</v>
      </c>
      <c r="H45" s="31" t="s">
        <v>900</v>
      </c>
      <c r="I45" s="31" t="n">
        <v>0</v>
      </c>
      <c r="J45" s="31" t="s">
        <v>901</v>
      </c>
      <c r="K45" s="31" t="n">
        <v>3</v>
      </c>
    </row>
    <row r="46" customFormat="false" ht="15" hidden="false" customHeight="false" outlineLevel="0" collapsed="false">
      <c r="A46" s="31" t="s">
        <v>880</v>
      </c>
      <c r="B46" s="31" t="n">
        <v>-3087304.6044159</v>
      </c>
      <c r="C46" s="34" t="n">
        <v>-0.0256787648130506</v>
      </c>
      <c r="D46" s="35" t="s">
        <v>899</v>
      </c>
      <c r="E46" s="31" t="n">
        <v>950321.769948451</v>
      </c>
      <c r="F46" s="31" t="n">
        <v>7004140.46611281</v>
      </c>
      <c r="G46" s="31" t="n">
        <v>5900000</v>
      </c>
      <c r="H46" s="31" t="s">
        <v>900</v>
      </c>
      <c r="I46" s="31" t="n">
        <v>0</v>
      </c>
      <c r="J46" s="31" t="s">
        <v>901</v>
      </c>
      <c r="K46" s="31" t="n">
        <v>3</v>
      </c>
    </row>
    <row r="47" customFormat="false" ht="15" hidden="false" customHeight="false" outlineLevel="0" collapsed="false">
      <c r="A47" s="31" t="s">
        <v>881</v>
      </c>
      <c r="B47" s="31" t="n">
        <v>-2705789.56148622</v>
      </c>
      <c r="C47" s="34" t="n">
        <v>-0.0566788463338655</v>
      </c>
      <c r="D47" s="35" t="s">
        <v>899</v>
      </c>
      <c r="E47" s="31" t="n">
        <v>532874.260142399</v>
      </c>
      <c r="F47" s="31" t="n">
        <v>4661681.44437489</v>
      </c>
      <c r="G47" s="31" t="n">
        <v>3700000</v>
      </c>
      <c r="H47" s="31" t="s">
        <v>900</v>
      </c>
      <c r="I47" s="31" t="n">
        <v>0</v>
      </c>
      <c r="J47" s="31" t="s">
        <v>901</v>
      </c>
      <c r="K47" s="31" t="n">
        <v>3</v>
      </c>
    </row>
    <row r="48" customFormat="false" ht="15" hidden="false" customHeight="false" outlineLevel="0" collapsed="false">
      <c r="A48" s="31" t="s">
        <v>882</v>
      </c>
      <c r="B48" s="31" t="n">
        <v>-4142336.44961202</v>
      </c>
      <c r="C48" s="34" t="n">
        <v>-0.091577111154814</v>
      </c>
      <c r="D48" s="35" t="s">
        <v>899</v>
      </c>
      <c r="E48" s="31" t="n">
        <v>436660.4249922</v>
      </c>
      <c r="F48" s="31" t="n">
        <v>6439041.52853077</v>
      </c>
      <c r="G48" s="31" t="n">
        <v>5500000</v>
      </c>
      <c r="H48" s="31" t="s">
        <v>900</v>
      </c>
      <c r="I48" s="31" t="n">
        <v>0</v>
      </c>
      <c r="J48" s="31" t="s">
        <v>901</v>
      </c>
      <c r="K48" s="31" t="n">
        <v>3</v>
      </c>
    </row>
    <row r="49" customFormat="false" ht="15" hidden="false" customHeight="false" outlineLevel="0" collapsed="false">
      <c r="A49" s="31" t="s">
        <v>883</v>
      </c>
      <c r="B49" s="31" t="n">
        <v>-4763213.9616256</v>
      </c>
      <c r="C49" s="34" t="n">
        <v>-0.103506417174423</v>
      </c>
      <c r="D49" s="35" t="s">
        <v>899</v>
      </c>
      <c r="E49" s="31" t="n">
        <v>466496.9049922</v>
      </c>
      <c r="F49" s="31" t="n">
        <v>7093571.97336281</v>
      </c>
      <c r="G49" s="31" t="n">
        <v>5650000</v>
      </c>
      <c r="H49" s="31" t="s">
        <v>900</v>
      </c>
      <c r="I49" s="31" t="n">
        <v>0</v>
      </c>
      <c r="J49" s="31" t="s">
        <v>901</v>
      </c>
      <c r="K49" s="31" t="n">
        <v>2</v>
      </c>
    </row>
    <row r="50" customFormat="false" ht="15" hidden="false" customHeight="false" outlineLevel="0" collapsed="false">
      <c r="A50" s="31" t="s">
        <v>902</v>
      </c>
      <c r="B50" s="31" t="n">
        <v>-2512811.15315156</v>
      </c>
      <c r="C50" s="34" t="s">
        <v>903</v>
      </c>
      <c r="D50" s="35" t="s">
        <v>899</v>
      </c>
      <c r="E50" s="31" t="n">
        <v>-282200</v>
      </c>
      <c r="F50" s="31" t="n">
        <v>3346049.31506849</v>
      </c>
      <c r="G50" s="31" t="n">
        <v>200000</v>
      </c>
      <c r="H50" s="31" t="s">
        <v>904</v>
      </c>
      <c r="I50" s="31" t="n">
        <v>0</v>
      </c>
      <c r="J50" s="31" t="s">
        <v>901</v>
      </c>
      <c r="K50" s="31" t="n">
        <v>2</v>
      </c>
    </row>
    <row r="51" customFormat="false" ht="15" hidden="false" customHeight="false" outlineLevel="0" collapsed="false">
      <c r="A51" s="31" t="s">
        <v>884</v>
      </c>
      <c r="B51" s="31" t="n">
        <v>-3827810.6889484</v>
      </c>
      <c r="C51" s="34" t="n">
        <v>-0.0786480992396146</v>
      </c>
      <c r="D51" s="35" t="s">
        <v>899</v>
      </c>
      <c r="E51" s="31" t="n">
        <v>506811.9049922</v>
      </c>
      <c r="F51" s="31" t="n">
        <v>6255141.75349979</v>
      </c>
      <c r="G51" s="31" t="n">
        <v>5500000</v>
      </c>
      <c r="H51" s="31" t="s">
        <v>900</v>
      </c>
      <c r="I51" s="31" t="n">
        <v>0</v>
      </c>
      <c r="J51" s="31" t="s">
        <v>901</v>
      </c>
      <c r="K51" s="31" t="n">
        <v>2</v>
      </c>
    </row>
    <row r="52" customFormat="false" ht="15" hidden="false" customHeight="false" outlineLevel="0" collapsed="false">
      <c r="A52" s="31" t="s">
        <v>885</v>
      </c>
      <c r="B52" s="31" t="n">
        <v>-2850494.04063318</v>
      </c>
      <c r="C52" s="34" t="n">
        <v>-0.0197471586558752</v>
      </c>
      <c r="D52" s="35" t="s">
        <v>899</v>
      </c>
      <c r="E52" s="31" t="n">
        <v>1031330.6715335</v>
      </c>
      <c r="F52" s="31" t="n">
        <v>6683326.76749971</v>
      </c>
      <c r="G52" s="31" t="n">
        <v>5500000</v>
      </c>
      <c r="H52" s="31" t="s">
        <v>900</v>
      </c>
      <c r="I52" s="31" t="n">
        <v>0</v>
      </c>
      <c r="J52" s="31" t="s">
        <v>901</v>
      </c>
      <c r="K52" s="31" t="n">
        <v>2</v>
      </c>
    </row>
    <row r="53" customFormat="false" ht="15" hidden="false" customHeight="false" outlineLevel="0" collapsed="false">
      <c r="A53" s="31" t="s">
        <v>886</v>
      </c>
      <c r="B53" s="31" t="n">
        <v>-5472675.51479549</v>
      </c>
      <c r="C53" s="34" t="n">
        <v>-0.145865699865963</v>
      </c>
      <c r="D53" s="35" t="s">
        <v>899</v>
      </c>
      <c r="E53" s="31" t="n">
        <v>302871.904992202</v>
      </c>
      <c r="F53" s="31" t="n">
        <v>7168062.79134034</v>
      </c>
      <c r="G53" s="31" t="n">
        <v>5500000</v>
      </c>
      <c r="H53" s="31" t="s">
        <v>900</v>
      </c>
      <c r="I53" s="31" t="n">
        <v>0</v>
      </c>
      <c r="J53" s="31" t="s">
        <v>901</v>
      </c>
      <c r="K53" s="31" t="n">
        <v>3</v>
      </c>
    </row>
    <row r="54" customFormat="false" ht="15" hidden="false" customHeight="false" outlineLevel="0" collapsed="false">
      <c r="A54" s="31" t="s">
        <v>887</v>
      </c>
      <c r="B54" s="31" t="n">
        <v>-1358150.01625142</v>
      </c>
      <c r="C54" s="34" t="n">
        <v>0.0211353752414026</v>
      </c>
      <c r="D54" s="35" t="n">
        <v>9.80214146103577</v>
      </c>
      <c r="E54" s="31" t="n">
        <v>906587.9213924</v>
      </c>
      <c r="F54" s="31" t="n">
        <v>4719594.97403108</v>
      </c>
      <c r="G54" s="31" t="n">
        <v>4100000</v>
      </c>
      <c r="H54" s="31" t="s">
        <v>900</v>
      </c>
      <c r="I54" s="31" t="n">
        <v>0</v>
      </c>
      <c r="J54" s="31" t="s">
        <v>901</v>
      </c>
      <c r="K54" s="31" t="n">
        <v>3</v>
      </c>
    </row>
    <row r="55" customFormat="false" ht="15" hidden="false" customHeight="false" outlineLevel="0" collapsed="false">
      <c r="A55" s="31" t="s">
        <v>888</v>
      </c>
      <c r="B55" s="31" t="n">
        <v>414.276543058906</v>
      </c>
      <c r="C55" s="34" t="n">
        <v>0.080016521411593</v>
      </c>
      <c r="D55" s="35" t="n">
        <v>7.280321711657</v>
      </c>
      <c r="E55" s="31" t="n">
        <v>1276012.6269688</v>
      </c>
      <c r="F55" s="31" t="n">
        <v>4579629.13743081</v>
      </c>
      <c r="G55" s="31" t="n">
        <v>4100000</v>
      </c>
      <c r="H55" s="31" t="s">
        <v>905</v>
      </c>
      <c r="I55" s="31" t="n">
        <v>0</v>
      </c>
      <c r="J55" s="31" t="s">
        <v>901</v>
      </c>
      <c r="K55" s="31" t="n">
        <v>2</v>
      </c>
    </row>
    <row r="57" customFormat="false" ht="15" hidden="false" customHeight="false" outlineLevel="0" collapsed="false">
      <c r="A57" s="2" t="s">
        <v>906</v>
      </c>
    </row>
    <row r="58" customFormat="false" ht="55.2" hidden="false" customHeight="false" outlineLevel="0" collapsed="false">
      <c r="A58" s="6" t="s">
        <v>907</v>
      </c>
      <c r="B58" s="6" t="s">
        <v>908</v>
      </c>
      <c r="C58" s="6" t="s">
        <v>909</v>
      </c>
      <c r="D58" s="6" t="s">
        <v>910</v>
      </c>
      <c r="E58" s="6" t="s">
        <v>911</v>
      </c>
      <c r="F58" s="6" t="s">
        <v>912</v>
      </c>
      <c r="G58" s="6" t="s">
        <v>913</v>
      </c>
      <c r="H58" s="6" t="s">
        <v>914</v>
      </c>
    </row>
    <row r="59" customFormat="false" ht="15" hidden="false" customHeight="false" outlineLevel="0" collapsed="false">
      <c r="A59" s="31" t="s">
        <v>915</v>
      </c>
      <c r="B59" s="32" t="s">
        <v>916</v>
      </c>
      <c r="C59" s="32" t="n">
        <v>51.9503558114235</v>
      </c>
      <c r="D59" s="32" t="n">
        <v>27.3152850490886</v>
      </c>
      <c r="E59" s="31" t="n">
        <v>-4649664.65018689</v>
      </c>
      <c r="F59" s="31" t="n">
        <v>-4383366.24450396</v>
      </c>
      <c r="G59" s="32" t="n">
        <v>151.272012539171</v>
      </c>
      <c r="H59" s="31" t="n">
        <v>118706.784053598</v>
      </c>
    </row>
    <row r="60" customFormat="false" ht="15" hidden="false" customHeight="false" outlineLevel="0" collapsed="false">
      <c r="A60" s="31" t="s">
        <v>917</v>
      </c>
      <c r="B60" s="32" t="s">
        <v>916</v>
      </c>
      <c r="C60" s="32" t="n">
        <v>15.6214563280321</v>
      </c>
      <c r="D60" s="32" t="n">
        <v>7.83673254153079</v>
      </c>
      <c r="E60" s="31" t="n">
        <v>-1568819.06400546</v>
      </c>
      <c r="F60" s="31" t="n">
        <v>62155.2143877708</v>
      </c>
      <c r="G60" s="32" t="n">
        <v>139.139506082389</v>
      </c>
      <c r="H60" s="31" t="n">
        <v>82605.5990081383</v>
      </c>
    </row>
    <row r="61" customFormat="false" ht="15" hidden="false" customHeight="false" outlineLevel="0" collapsed="false">
      <c r="A61" s="31" t="s">
        <v>918</v>
      </c>
      <c r="B61" s="32" t="n">
        <v>0.036638785211176</v>
      </c>
      <c r="C61" s="32" t="n">
        <v>2.9970030363046</v>
      </c>
      <c r="D61" s="32" t="s">
        <v>916</v>
      </c>
      <c r="E61" s="31" t="n">
        <v>-269745.225372416</v>
      </c>
      <c r="F61" s="31" t="n">
        <v>1420719.50718225</v>
      </c>
      <c r="G61" s="32" t="n">
        <v>134.999017074645</v>
      </c>
      <c r="H61" s="31" t="n">
        <v>89995.9711133263</v>
      </c>
    </row>
  </sheetData>
  <mergeCells count="1"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13" min="3" style="0" width="13"/>
    <col collapsed="false" customWidth="true" hidden="false" outlineLevel="0" max="15" min="15" style="0" width="58"/>
  </cols>
  <sheetData>
    <row r="1" customFormat="false" ht="17.35" hidden="false" customHeight="false" outlineLevel="0" collapsed="false">
      <c r="A1" s="1" t="s">
        <v>919</v>
      </c>
    </row>
    <row r="2" customFormat="false" ht="15" hidden="false" customHeight="false" outlineLevel="0" collapsed="false">
      <c r="A2" s="5" t="s">
        <v>920</v>
      </c>
    </row>
    <row r="3" customFormat="false" ht="15" hidden="false" customHeight="false" outlineLevel="0" collapsed="false">
      <c r="A3" s="14" t="s">
        <v>544</v>
      </c>
      <c r="B3" s="14" t="s">
        <v>36</v>
      </c>
      <c r="C3" s="15" t="n">
        <f aca="false">2026+C4</f>
        <v>2026</v>
      </c>
      <c r="D3" s="15" t="n">
        <f aca="false">2026+D4</f>
        <v>2027</v>
      </c>
      <c r="E3" s="15" t="n">
        <f aca="false">2026+E4</f>
        <v>2028</v>
      </c>
      <c r="F3" s="15" t="n">
        <f aca="false">2026+F4</f>
        <v>2029</v>
      </c>
      <c r="G3" s="15" t="n">
        <f aca="false">2026+G4</f>
        <v>2030</v>
      </c>
      <c r="H3" s="15" t="n">
        <f aca="false">2026+H4</f>
        <v>2031</v>
      </c>
      <c r="I3" s="15" t="n">
        <f aca="false">2026+I4</f>
        <v>2032</v>
      </c>
      <c r="J3" s="15" t="n">
        <f aca="false">2026+J4</f>
        <v>2033</v>
      </c>
      <c r="K3" s="15" t="n">
        <f aca="false">2026+K4</f>
        <v>2034</v>
      </c>
      <c r="L3" s="15" t="n">
        <f aca="false">2026+L4</f>
        <v>2035</v>
      </c>
      <c r="M3" s="15" t="n">
        <f aca="false">2026+M4</f>
        <v>2036</v>
      </c>
    </row>
    <row r="4" customFormat="false" ht="15" hidden="false" customHeight="false" outlineLevel="0" collapsed="false">
      <c r="A4" s="14" t="s">
        <v>545</v>
      </c>
      <c r="B4" s="16"/>
      <c r="C4" s="15" t="n">
        <v>0</v>
      </c>
      <c r="D4" s="15" t="n">
        <v>1</v>
      </c>
      <c r="E4" s="15" t="n">
        <v>2</v>
      </c>
      <c r="F4" s="15" t="n">
        <v>3</v>
      </c>
      <c r="G4" s="15" t="n">
        <v>4</v>
      </c>
      <c r="H4" s="15" t="n">
        <v>5</v>
      </c>
      <c r="I4" s="15" t="n">
        <v>6</v>
      </c>
      <c r="J4" s="15" t="n">
        <v>7</v>
      </c>
      <c r="K4" s="15" t="n">
        <v>8</v>
      </c>
      <c r="L4" s="15" t="n">
        <v>9</v>
      </c>
      <c r="M4" s="15" t="n">
        <v>10</v>
      </c>
    </row>
    <row r="5" customFormat="false" ht="15" hidden="false" customHeight="false" outlineLevel="0" collapsed="false">
      <c r="O5" s="6" t="s">
        <v>734</v>
      </c>
      <c r="P5" s="6"/>
      <c r="Q5" s="6" t="s">
        <v>727</v>
      </c>
      <c r="R5" s="6" t="s">
        <v>36</v>
      </c>
      <c r="S5" s="6" t="s">
        <v>37</v>
      </c>
      <c r="T5" s="6" t="s">
        <v>39</v>
      </c>
      <c r="U5" s="6" t="s">
        <v>921</v>
      </c>
    </row>
    <row r="6" customFormat="false" ht="15" hidden="false" customHeight="false" outlineLevel="0" collapsed="false">
      <c r="A6" s="0" t="s">
        <v>922</v>
      </c>
      <c r="B6" s="0" t="s">
        <v>923</v>
      </c>
      <c r="C6" s="18" t="n">
        <f aca="false">IF(C$4=0,0,MIN(al_licensees_max,C$4))</f>
        <v>0</v>
      </c>
      <c r="D6" s="18" t="n">
        <f aca="false">IF(D$4=0,0,MIN(al_licensees_max,D$4))</f>
        <v>1</v>
      </c>
      <c r="E6" s="18" t="n">
        <f aca="false">IF(E$4=0,0,MIN(al_licensees_max,E$4))</f>
        <v>2</v>
      </c>
      <c r="F6" s="18" t="n">
        <f aca="false">IF(F$4=0,0,MIN(al_licensees_max,F$4))</f>
        <v>3</v>
      </c>
      <c r="G6" s="18" t="n">
        <f aca="false">IF(G$4=0,0,MIN(al_licensees_max,G$4))</f>
        <v>4</v>
      </c>
      <c r="H6" s="18" t="n">
        <f aca="false">IF(H$4=0,0,MIN(al_licensees_max,H$4))</f>
        <v>4</v>
      </c>
      <c r="I6" s="18" t="n">
        <f aca="false">IF(I$4=0,0,MIN(al_licensees_max,I$4))</f>
        <v>4</v>
      </c>
      <c r="J6" s="18" t="n">
        <f aca="false">IF(J$4=0,0,MIN(al_licensees_max,J$4))</f>
        <v>4</v>
      </c>
      <c r="K6" s="18" t="n">
        <f aca="false">IF(K$4=0,0,MIN(al_licensees_max,K$4))</f>
        <v>4</v>
      </c>
      <c r="L6" s="18" t="n">
        <f aca="false">IF(L$4=0,0,MIN(al_licensees_max,L$4))</f>
        <v>4</v>
      </c>
      <c r="M6" s="18" t="n">
        <f aca="false">IF(M$4=0,0,MIN(al_licensees_max,M$4))</f>
        <v>4</v>
      </c>
      <c r="O6" s="8" t="s">
        <v>924</v>
      </c>
      <c r="Q6" s="7" t="n">
        <v>4</v>
      </c>
      <c r="R6" s="8" t="s">
        <v>923</v>
      </c>
      <c r="S6" s="0" t="n">
        <v>2</v>
      </c>
      <c r="T6" s="0" t="n">
        <v>8</v>
      </c>
      <c r="U6" s="8" t="s">
        <v>925</v>
      </c>
    </row>
    <row r="7" customFormat="false" ht="15" hidden="false" customHeight="false" outlineLevel="0" collapsed="false">
      <c r="A7" s="0" t="s">
        <v>926</v>
      </c>
      <c r="B7" s="0" t="s">
        <v>576</v>
      </c>
      <c r="C7" s="17" t="n">
        <f aca="false">C6*al_circ_volume_per_licensee</f>
        <v>0</v>
      </c>
      <c r="D7" s="17" t="n">
        <f aca="false">D6*al_circ_volume_per_licensee</f>
        <v>15000</v>
      </c>
      <c r="E7" s="17" t="n">
        <f aca="false">E6*al_circ_volume_per_licensee</f>
        <v>30000</v>
      </c>
      <c r="F7" s="17" t="n">
        <f aca="false">F6*al_circ_volume_per_licensee</f>
        <v>45000</v>
      </c>
      <c r="G7" s="17" t="n">
        <f aca="false">G6*al_circ_volume_per_licensee</f>
        <v>60000</v>
      </c>
      <c r="H7" s="17" t="n">
        <f aca="false">H6*al_circ_volume_per_licensee</f>
        <v>60000</v>
      </c>
      <c r="I7" s="17" t="n">
        <f aca="false">I6*al_circ_volume_per_licensee</f>
        <v>60000</v>
      </c>
      <c r="J7" s="17" t="n">
        <f aca="false">J6*al_circ_volume_per_licensee</f>
        <v>60000</v>
      </c>
      <c r="K7" s="17" t="n">
        <f aca="false">K6*al_circ_volume_per_licensee</f>
        <v>60000</v>
      </c>
      <c r="L7" s="17" t="n">
        <f aca="false">L6*al_circ_volume_per_licensee</f>
        <v>60000</v>
      </c>
      <c r="M7" s="17" t="n">
        <f aca="false">M6*al_circ_volume_per_licensee</f>
        <v>60000</v>
      </c>
      <c r="O7" s="8" t="s">
        <v>927</v>
      </c>
      <c r="Q7" s="7" t="n">
        <v>15000</v>
      </c>
      <c r="R7" s="8" t="s">
        <v>90</v>
      </c>
      <c r="S7" s="0" t="n">
        <v>8000</v>
      </c>
      <c r="T7" s="0" t="n">
        <v>25000</v>
      </c>
      <c r="U7" s="8" t="s">
        <v>925</v>
      </c>
    </row>
    <row r="8" customFormat="false" ht="15" hidden="false" customHeight="false" outlineLevel="0" collapsed="false">
      <c r="A8" s="0" t="s">
        <v>928</v>
      </c>
      <c r="B8" s="0" t="s">
        <v>72</v>
      </c>
      <c r="C8" s="17" t="n">
        <f aca="false">C7*al_fee_per_m3</f>
        <v>0</v>
      </c>
      <c r="D8" s="17" t="n">
        <f aca="false">D7*al_fee_per_m3</f>
        <v>30000</v>
      </c>
      <c r="E8" s="17" t="n">
        <f aca="false">E7*al_fee_per_m3</f>
        <v>60000</v>
      </c>
      <c r="F8" s="17" t="n">
        <f aca="false">F7*al_fee_per_m3</f>
        <v>90000</v>
      </c>
      <c r="G8" s="17" t="n">
        <f aca="false">G7*al_fee_per_m3</f>
        <v>120000</v>
      </c>
      <c r="H8" s="17" t="n">
        <f aca="false">H7*al_fee_per_m3</f>
        <v>120000</v>
      </c>
      <c r="I8" s="17" t="n">
        <f aca="false">I7*al_fee_per_m3</f>
        <v>120000</v>
      </c>
      <c r="J8" s="17" t="n">
        <f aca="false">J7*al_fee_per_m3</f>
        <v>120000</v>
      </c>
      <c r="K8" s="17" t="n">
        <f aca="false">K7*al_fee_per_m3</f>
        <v>120000</v>
      </c>
      <c r="L8" s="17" t="n">
        <f aca="false">L7*al_fee_per_m3</f>
        <v>120000</v>
      </c>
      <c r="M8" s="17" t="n">
        <f aca="false">M7*al_fee_per_m3</f>
        <v>120000</v>
      </c>
      <c r="O8" s="8" t="s">
        <v>929</v>
      </c>
      <c r="Q8" s="7" t="n">
        <v>2</v>
      </c>
      <c r="R8" s="8" t="s">
        <v>287</v>
      </c>
      <c r="S8" s="0" t="n">
        <v>1</v>
      </c>
      <c r="T8" s="0" t="n">
        <v>3.5</v>
      </c>
      <c r="U8" s="8" t="s">
        <v>930</v>
      </c>
    </row>
    <row r="9" customFormat="false" ht="15" hidden="false" customHeight="false" outlineLevel="0" collapsed="false">
      <c r="A9" s="0" t="s">
        <v>931</v>
      </c>
      <c r="B9" s="0" t="s">
        <v>72</v>
      </c>
      <c r="C9" s="17" t="n">
        <f aca="false">C7*al_rca_t_per_m3*al_rca_margin_per_t</f>
        <v>0</v>
      </c>
      <c r="D9" s="17" t="n">
        <f aca="false">D7*al_rca_t_per_m3*al_rca_margin_per_t</f>
        <v>12600</v>
      </c>
      <c r="E9" s="17" t="n">
        <f aca="false">E7*al_rca_t_per_m3*al_rca_margin_per_t</f>
        <v>25200</v>
      </c>
      <c r="F9" s="17" t="n">
        <f aca="false">F7*al_rca_t_per_m3*al_rca_margin_per_t</f>
        <v>37800</v>
      </c>
      <c r="G9" s="17" t="n">
        <f aca="false">G7*al_rca_t_per_m3*al_rca_margin_per_t</f>
        <v>50400</v>
      </c>
      <c r="H9" s="17" t="n">
        <f aca="false">H7*al_rca_t_per_m3*al_rca_margin_per_t</f>
        <v>50400</v>
      </c>
      <c r="I9" s="17" t="n">
        <f aca="false">I7*al_rca_t_per_m3*al_rca_margin_per_t</f>
        <v>50400</v>
      </c>
      <c r="J9" s="17" t="n">
        <f aca="false">J7*al_rca_t_per_m3*al_rca_margin_per_t</f>
        <v>50400</v>
      </c>
      <c r="K9" s="17" t="n">
        <f aca="false">K7*al_rca_t_per_m3*al_rca_margin_per_t</f>
        <v>50400</v>
      </c>
      <c r="L9" s="17" t="n">
        <f aca="false">L7*al_rca_t_per_m3*al_rca_margin_per_t</f>
        <v>50400</v>
      </c>
      <c r="M9" s="17" t="n">
        <f aca="false">M7*al_rca_t_per_m3*al_rca_margin_per_t</f>
        <v>50400</v>
      </c>
      <c r="O9" s="8" t="s">
        <v>932</v>
      </c>
      <c r="Q9" s="7" t="n">
        <v>0.56</v>
      </c>
      <c r="R9" s="8" t="s">
        <v>933</v>
      </c>
      <c r="S9" s="0" t="n">
        <v>0.33</v>
      </c>
      <c r="T9" s="0" t="n">
        <v>0.56</v>
      </c>
      <c r="U9" s="8" t="s">
        <v>934</v>
      </c>
    </row>
    <row r="10" customFormat="false" ht="15" hidden="false" customHeight="false" outlineLevel="0" collapsed="false">
      <c r="A10" s="0" t="s">
        <v>935</v>
      </c>
      <c r="B10" s="0" t="s">
        <v>72</v>
      </c>
      <c r="C10" s="17" t="n">
        <f aca="false">IF(C$4&gt;=2,al_services_rev,0)</f>
        <v>0</v>
      </c>
      <c r="D10" s="17" t="n">
        <f aca="false">IF(D$4&gt;=2,al_services_rev,0)</f>
        <v>0</v>
      </c>
      <c r="E10" s="17" t="n">
        <f aca="false">IF(E$4&gt;=2,al_services_rev,0)</f>
        <v>100000</v>
      </c>
      <c r="F10" s="17" t="n">
        <f aca="false">IF(F$4&gt;=2,al_services_rev,0)</f>
        <v>100000</v>
      </c>
      <c r="G10" s="17" t="n">
        <f aca="false">IF(G$4&gt;=2,al_services_rev,0)</f>
        <v>100000</v>
      </c>
      <c r="H10" s="17" t="n">
        <f aca="false">IF(H$4&gt;=2,al_services_rev,0)</f>
        <v>100000</v>
      </c>
      <c r="I10" s="17" t="n">
        <f aca="false">IF(I$4&gt;=2,al_services_rev,0)</f>
        <v>100000</v>
      </c>
      <c r="J10" s="17" t="n">
        <f aca="false">IF(J$4&gt;=2,al_services_rev,0)</f>
        <v>100000</v>
      </c>
      <c r="K10" s="17" t="n">
        <f aca="false">IF(K$4&gt;=2,al_services_rev,0)</f>
        <v>100000</v>
      </c>
      <c r="L10" s="17" t="n">
        <f aca="false">IF(L$4&gt;=2,al_services_rev,0)</f>
        <v>100000</v>
      </c>
      <c r="M10" s="17" t="n">
        <f aca="false">IF(M$4&gt;=2,al_services_rev,0)</f>
        <v>100000</v>
      </c>
      <c r="O10" s="8" t="s">
        <v>936</v>
      </c>
      <c r="Q10" s="7" t="n">
        <v>1.5</v>
      </c>
      <c r="R10" s="8" t="s">
        <v>197</v>
      </c>
      <c r="S10" s="0" t="n">
        <v>0.5</v>
      </c>
      <c r="T10" s="0" t="n">
        <v>3</v>
      </c>
      <c r="U10" s="8" t="s">
        <v>937</v>
      </c>
    </row>
    <row r="11" customFormat="false" ht="15" hidden="false" customHeight="false" outlineLevel="0" collapsed="false">
      <c r="A11" s="2" t="s">
        <v>589</v>
      </c>
      <c r="B11" s="8" t="s">
        <v>72</v>
      </c>
      <c r="C11" s="19" t="n">
        <f aca="false">C8+C9+C10</f>
        <v>0</v>
      </c>
      <c r="D11" s="19" t="n">
        <f aca="false">D8+D9+D10</f>
        <v>42600</v>
      </c>
      <c r="E11" s="19" t="n">
        <f aca="false">E8+E9+E10</f>
        <v>185200</v>
      </c>
      <c r="F11" s="19" t="n">
        <f aca="false">F8+F9+F10</f>
        <v>227800</v>
      </c>
      <c r="G11" s="19" t="n">
        <f aca="false">G8+G9+G10</f>
        <v>270400</v>
      </c>
      <c r="H11" s="19" t="n">
        <f aca="false">H8+H9+H10</f>
        <v>270400</v>
      </c>
      <c r="I11" s="19" t="n">
        <f aca="false">I8+I9+I10</f>
        <v>270400</v>
      </c>
      <c r="J11" s="19" t="n">
        <f aca="false">J8+J9+J10</f>
        <v>270400</v>
      </c>
      <c r="K11" s="19" t="n">
        <f aca="false">K8+K9+K10</f>
        <v>270400</v>
      </c>
      <c r="L11" s="19" t="n">
        <f aca="false">L8+L9+L10</f>
        <v>270400</v>
      </c>
      <c r="M11" s="19" t="n">
        <f aca="false">M8+M9+M10</f>
        <v>270400</v>
      </c>
      <c r="O11" s="8" t="s">
        <v>938</v>
      </c>
      <c r="Q11" s="7" t="n">
        <v>100000</v>
      </c>
      <c r="R11" s="8" t="s">
        <v>317</v>
      </c>
      <c r="S11" s="0" t="n">
        <v>0</v>
      </c>
      <c r="T11" s="0" t="n">
        <v>200000</v>
      </c>
      <c r="U11" s="8" t="s">
        <v>939</v>
      </c>
    </row>
    <row r="12" customFormat="false" ht="15" hidden="false" customHeight="false" outlineLevel="0" collapsed="false">
      <c r="A12" s="0" t="s">
        <v>940</v>
      </c>
      <c r="B12" s="0" t="s">
        <v>72</v>
      </c>
      <c r="C12" s="17" t="n">
        <f aca="false">IF(C$4&gt;=1,al_fte*al_cost_per_fte,0)</f>
        <v>0</v>
      </c>
      <c r="D12" s="17" t="n">
        <f aca="false">IF(D$4&gt;=1,al_fte*al_cost_per_fte,0)</f>
        <v>360000</v>
      </c>
      <c r="E12" s="17" t="n">
        <f aca="false">IF(E$4&gt;=1,al_fte*al_cost_per_fte,0)</f>
        <v>360000</v>
      </c>
      <c r="F12" s="17" t="n">
        <f aca="false">IF(F$4&gt;=1,al_fte*al_cost_per_fte,0)</f>
        <v>360000</v>
      </c>
      <c r="G12" s="17" t="n">
        <f aca="false">IF(G$4&gt;=1,al_fte*al_cost_per_fte,0)</f>
        <v>360000</v>
      </c>
      <c r="H12" s="17" t="n">
        <f aca="false">IF(H$4&gt;=1,al_fte*al_cost_per_fte,0)</f>
        <v>360000</v>
      </c>
      <c r="I12" s="17" t="n">
        <f aca="false">IF(I$4&gt;=1,al_fte*al_cost_per_fte,0)</f>
        <v>360000</v>
      </c>
      <c r="J12" s="17" t="n">
        <f aca="false">IF(J$4&gt;=1,al_fte*al_cost_per_fte,0)</f>
        <v>360000</v>
      </c>
      <c r="K12" s="17" t="n">
        <f aca="false">IF(K$4&gt;=1,al_fte*al_cost_per_fte,0)</f>
        <v>360000</v>
      </c>
      <c r="L12" s="17" t="n">
        <f aca="false">IF(L$4&gt;=1,al_fte*al_cost_per_fte,0)</f>
        <v>360000</v>
      </c>
      <c r="M12" s="17" t="n">
        <f aca="false">IF(M$4&gt;=1,al_fte*al_cost_per_fte,0)</f>
        <v>360000</v>
      </c>
      <c r="O12" s="8" t="s">
        <v>941</v>
      </c>
      <c r="Q12" s="7" t="n">
        <v>4</v>
      </c>
      <c r="R12" s="8" t="s">
        <v>313</v>
      </c>
      <c r="S12" s="0" t="n">
        <v>3</v>
      </c>
      <c r="T12" s="0" t="n">
        <v>5</v>
      </c>
      <c r="U12" s="8" t="s">
        <v>942</v>
      </c>
    </row>
    <row r="13" customFormat="false" ht="15" hidden="false" customHeight="false" outlineLevel="0" collapsed="false">
      <c r="A13" s="0" t="s">
        <v>943</v>
      </c>
      <c r="B13" s="0" t="s">
        <v>72</v>
      </c>
      <c r="C13" s="17" t="n">
        <f aca="false">IF(C$4&gt;=1,al_overhead,0)</f>
        <v>0</v>
      </c>
      <c r="D13" s="17" t="n">
        <f aca="false">IF(D$4&gt;=1,al_overhead,0)</f>
        <v>150000</v>
      </c>
      <c r="E13" s="17" t="n">
        <f aca="false">IF(E$4&gt;=1,al_overhead,0)</f>
        <v>150000</v>
      </c>
      <c r="F13" s="17" t="n">
        <f aca="false">IF(F$4&gt;=1,al_overhead,0)</f>
        <v>150000</v>
      </c>
      <c r="G13" s="17" t="n">
        <f aca="false">IF(G$4&gt;=1,al_overhead,0)</f>
        <v>150000</v>
      </c>
      <c r="H13" s="17" t="n">
        <f aca="false">IF(H$4&gt;=1,al_overhead,0)</f>
        <v>150000</v>
      </c>
      <c r="I13" s="17" t="n">
        <f aca="false">IF(I$4&gt;=1,al_overhead,0)</f>
        <v>150000</v>
      </c>
      <c r="J13" s="17" t="n">
        <f aca="false">IF(J$4&gt;=1,al_overhead,0)</f>
        <v>150000</v>
      </c>
      <c r="K13" s="17" t="n">
        <f aca="false">IF(K$4&gt;=1,al_overhead,0)</f>
        <v>150000</v>
      </c>
      <c r="L13" s="17" t="n">
        <f aca="false">IF(L$4&gt;=1,al_overhead,0)</f>
        <v>150000</v>
      </c>
      <c r="M13" s="17" t="n">
        <f aca="false">IF(M$4&gt;=1,al_overhead,0)</f>
        <v>150000</v>
      </c>
      <c r="O13" s="8" t="s">
        <v>944</v>
      </c>
      <c r="Q13" s="7" t="n">
        <v>90000</v>
      </c>
      <c r="R13" s="8" t="s">
        <v>317</v>
      </c>
      <c r="S13" s="0" t="n">
        <v>80000</v>
      </c>
      <c r="T13" s="0" t="n">
        <v>110000</v>
      </c>
      <c r="U13" s="8" t="s">
        <v>945</v>
      </c>
    </row>
    <row r="14" customFormat="false" ht="15" hidden="false" customHeight="false" outlineLevel="0" collapsed="false">
      <c r="A14" s="0" t="s">
        <v>946</v>
      </c>
      <c r="B14" s="0" t="s">
        <v>72</v>
      </c>
      <c r="C14" s="17" t="n">
        <f aca="false">IF(C$4=0,al_startup_t0,0)</f>
        <v>350000</v>
      </c>
      <c r="D14" s="17" t="n">
        <f aca="false">IF(D$4=0,al_startup_t0,0)</f>
        <v>0</v>
      </c>
      <c r="E14" s="17" t="n">
        <f aca="false">IF(E$4=0,al_startup_t0,0)</f>
        <v>0</v>
      </c>
      <c r="F14" s="17" t="n">
        <f aca="false">IF(F$4=0,al_startup_t0,0)</f>
        <v>0</v>
      </c>
      <c r="G14" s="17" t="n">
        <f aca="false">IF(G$4=0,al_startup_t0,0)</f>
        <v>0</v>
      </c>
      <c r="H14" s="17" t="n">
        <f aca="false">IF(H$4=0,al_startup_t0,0)</f>
        <v>0</v>
      </c>
      <c r="I14" s="17" t="n">
        <f aca="false">IF(I$4=0,al_startup_t0,0)</f>
        <v>0</v>
      </c>
      <c r="J14" s="17" t="n">
        <f aca="false">IF(J$4=0,al_startup_t0,0)</f>
        <v>0</v>
      </c>
      <c r="K14" s="17" t="n">
        <f aca="false">IF(K$4=0,al_startup_t0,0)</f>
        <v>0</v>
      </c>
      <c r="L14" s="17" t="n">
        <f aca="false">IF(L$4=0,al_startup_t0,0)</f>
        <v>0</v>
      </c>
      <c r="M14" s="17" t="n">
        <f aca="false">IF(M$4=0,al_startup_t0,0)</f>
        <v>0</v>
      </c>
      <c r="O14" s="8" t="s">
        <v>947</v>
      </c>
      <c r="Q14" s="7" t="n">
        <v>150000</v>
      </c>
      <c r="R14" s="8" t="s">
        <v>317</v>
      </c>
      <c r="S14" s="0" t="n">
        <v>100000</v>
      </c>
      <c r="T14" s="0" t="n">
        <v>200000</v>
      </c>
      <c r="U14" s="8" t="s">
        <v>942</v>
      </c>
    </row>
    <row r="15" customFormat="false" ht="15" hidden="false" customHeight="false" outlineLevel="0" collapsed="false">
      <c r="A15" s="2" t="s">
        <v>681</v>
      </c>
      <c r="B15" s="8" t="s">
        <v>72</v>
      </c>
      <c r="C15" s="19" t="n">
        <f aca="false">C11-C12-C13-C14</f>
        <v>-350000</v>
      </c>
      <c r="D15" s="19" t="n">
        <f aca="false">D11-D12-D13-D14</f>
        <v>-467400</v>
      </c>
      <c r="E15" s="19" t="n">
        <f aca="false">E11-E12-E13-E14</f>
        <v>-324800</v>
      </c>
      <c r="F15" s="19" t="n">
        <f aca="false">F11-F12-F13-F14</f>
        <v>-282200</v>
      </c>
      <c r="G15" s="19" t="n">
        <f aca="false">G11-G12-G13-G14</f>
        <v>-239600</v>
      </c>
      <c r="H15" s="19" t="n">
        <f aca="false">H11-H12-H13-H14</f>
        <v>-239600</v>
      </c>
      <c r="I15" s="19" t="n">
        <f aca="false">I11-I12-I13-I14</f>
        <v>-239600</v>
      </c>
      <c r="J15" s="19" t="n">
        <f aca="false">J11-J12-J13-J14</f>
        <v>-239600</v>
      </c>
      <c r="K15" s="19" t="n">
        <f aca="false">K11-K12-K13-K14</f>
        <v>-239600</v>
      </c>
      <c r="L15" s="19" t="n">
        <f aca="false">L11-L12-L13-L14</f>
        <v>-239600</v>
      </c>
      <c r="M15" s="19" t="n">
        <f aca="false">M11-M12-M13-M14</f>
        <v>-239600</v>
      </c>
      <c r="O15" s="8" t="s">
        <v>948</v>
      </c>
      <c r="Q15" s="7" t="n">
        <v>350000</v>
      </c>
      <c r="R15" s="8" t="s">
        <v>72</v>
      </c>
      <c r="S15" s="0" t="n">
        <v>250000</v>
      </c>
      <c r="T15" s="0" t="n">
        <v>500000</v>
      </c>
      <c r="U15" s="8" t="s">
        <v>942</v>
      </c>
    </row>
    <row r="16" customFormat="false" ht="15" hidden="false" customHeight="false" outlineLevel="0" collapsed="false">
      <c r="A16" s="0" t="s">
        <v>949</v>
      </c>
      <c r="B16" s="0" t="s">
        <v>72</v>
      </c>
      <c r="C16" s="17" t="n">
        <f aca="false">IF(AND(C$4&gt;=1,C$4&lt;=al_capex_life),al_capex_t0/al_capex_life,0)</f>
        <v>0</v>
      </c>
      <c r="D16" s="17" t="n">
        <f aca="false">IF(AND(D$4&gt;=1,D$4&lt;=al_capex_life),al_capex_t0/al_capex_life,0)</f>
        <v>40000</v>
      </c>
      <c r="E16" s="17" t="n">
        <f aca="false">IF(AND(E$4&gt;=1,E$4&lt;=al_capex_life),al_capex_t0/al_capex_life,0)</f>
        <v>40000</v>
      </c>
      <c r="F16" s="17" t="n">
        <f aca="false">IF(AND(F$4&gt;=1,F$4&lt;=al_capex_life),al_capex_t0/al_capex_life,0)</f>
        <v>40000</v>
      </c>
      <c r="G16" s="17" t="n">
        <f aca="false">IF(AND(G$4&gt;=1,G$4&lt;=al_capex_life),al_capex_t0/al_capex_life,0)</f>
        <v>40000</v>
      </c>
      <c r="H16" s="17" t="n">
        <f aca="false">IF(AND(H$4&gt;=1,H$4&lt;=al_capex_life),al_capex_t0/al_capex_life,0)</f>
        <v>40000</v>
      </c>
      <c r="I16" s="17" t="n">
        <f aca="false">IF(AND(I$4&gt;=1,I$4&lt;=al_capex_life),al_capex_t0/al_capex_life,0)</f>
        <v>0</v>
      </c>
      <c r="J16" s="17" t="n">
        <f aca="false">IF(AND(J$4&gt;=1,J$4&lt;=al_capex_life),al_capex_t0/al_capex_life,0)</f>
        <v>0</v>
      </c>
      <c r="K16" s="17" t="n">
        <f aca="false">IF(AND(K$4&gt;=1,K$4&lt;=al_capex_life),al_capex_t0/al_capex_life,0)</f>
        <v>0</v>
      </c>
      <c r="L16" s="17" t="n">
        <f aca="false">IF(AND(L$4&gt;=1,L$4&lt;=al_capex_life),al_capex_t0/al_capex_life,0)</f>
        <v>0</v>
      </c>
      <c r="M16" s="17" t="n">
        <f aca="false">IF(AND(M$4&gt;=1,M$4&lt;=al_capex_life),al_capex_t0/al_capex_life,0)</f>
        <v>0</v>
      </c>
      <c r="O16" s="8" t="s">
        <v>950</v>
      </c>
      <c r="Q16" s="7" t="n">
        <v>200000</v>
      </c>
      <c r="R16" s="8" t="s">
        <v>72</v>
      </c>
      <c r="S16" s="0" t="n">
        <v>100000</v>
      </c>
      <c r="T16" s="0" t="n">
        <v>300000</v>
      </c>
      <c r="U16" s="8" t="s">
        <v>942</v>
      </c>
    </row>
    <row r="17" customFormat="false" ht="15" hidden="false" customHeight="false" outlineLevel="0" collapsed="false">
      <c r="A17" s="2" t="s">
        <v>683</v>
      </c>
      <c r="B17" s="8" t="s">
        <v>72</v>
      </c>
      <c r="C17" s="19" t="n">
        <f aca="false">C15-C16</f>
        <v>-350000</v>
      </c>
      <c r="D17" s="19" t="n">
        <f aca="false">D15-D16</f>
        <v>-507400</v>
      </c>
      <c r="E17" s="19" t="n">
        <f aca="false">E15-E16</f>
        <v>-364800</v>
      </c>
      <c r="F17" s="19" t="n">
        <f aca="false">F15-F16</f>
        <v>-322200</v>
      </c>
      <c r="G17" s="19" t="n">
        <f aca="false">G15-G16</f>
        <v>-279600</v>
      </c>
      <c r="H17" s="19" t="n">
        <f aca="false">H15-H16</f>
        <v>-279600</v>
      </c>
      <c r="I17" s="19" t="n">
        <f aca="false">I15-I16</f>
        <v>-239600</v>
      </c>
      <c r="J17" s="19" t="n">
        <f aca="false">J15-J16</f>
        <v>-239600</v>
      </c>
      <c r="K17" s="19" t="n">
        <f aca="false">K15-K16</f>
        <v>-239600</v>
      </c>
      <c r="L17" s="19" t="n">
        <f aca="false">L15-L16</f>
        <v>-239600</v>
      </c>
      <c r="M17" s="19" t="n">
        <f aca="false">M15-M16</f>
        <v>-239600</v>
      </c>
      <c r="O17" s="8" t="s">
        <v>951</v>
      </c>
      <c r="Q17" s="7" t="n">
        <v>5</v>
      </c>
      <c r="R17" s="8" t="s">
        <v>133</v>
      </c>
      <c r="S17" s="0" t="n">
        <v>5</v>
      </c>
      <c r="T17" s="0" t="n">
        <v>5</v>
      </c>
      <c r="U17" s="8" t="s">
        <v>53</v>
      </c>
    </row>
    <row r="18" customFormat="false" ht="15" hidden="false" customHeight="false" outlineLevel="0" collapsed="false">
      <c r="A18" s="0" t="s">
        <v>689</v>
      </c>
      <c r="B18" s="0" t="s">
        <v>72</v>
      </c>
      <c r="C18" s="17" t="n">
        <f aca="false">MAX(0,C17)</f>
        <v>0</v>
      </c>
      <c r="D18" s="17" t="n">
        <f aca="false">MAX(0,D17-C19)</f>
        <v>0</v>
      </c>
      <c r="E18" s="17" t="n">
        <f aca="false">MAX(0,E17-D19)</f>
        <v>0</v>
      </c>
      <c r="F18" s="17" t="n">
        <f aca="false">MAX(0,F17-E19)</f>
        <v>0</v>
      </c>
      <c r="G18" s="17" t="n">
        <f aca="false">MAX(0,G17-F19)</f>
        <v>0</v>
      </c>
      <c r="H18" s="17" t="n">
        <f aca="false">MAX(0,H17-G19)</f>
        <v>0</v>
      </c>
      <c r="I18" s="17" t="n">
        <f aca="false">MAX(0,I17-H19)</f>
        <v>0</v>
      </c>
      <c r="J18" s="17" t="n">
        <f aca="false">MAX(0,J17-I19)</f>
        <v>0</v>
      </c>
      <c r="K18" s="17" t="n">
        <f aca="false">MAX(0,K17-J19)</f>
        <v>0</v>
      </c>
      <c r="L18" s="17" t="n">
        <f aca="false">MAX(0,L17-K19)</f>
        <v>0</v>
      </c>
      <c r="M18" s="17" t="n">
        <f aca="false">MAX(0,M17-L19)</f>
        <v>0</v>
      </c>
      <c r="O18" s="8" t="s">
        <v>952</v>
      </c>
      <c r="Q18" s="7" t="n">
        <v>60</v>
      </c>
      <c r="R18" s="8" t="s">
        <v>141</v>
      </c>
      <c r="S18" s="0" t="n">
        <v>45</v>
      </c>
      <c r="T18" s="0" t="n">
        <v>75</v>
      </c>
      <c r="U18" s="8" t="s">
        <v>953</v>
      </c>
    </row>
    <row r="19" customFormat="false" ht="15" hidden="false" customHeight="false" outlineLevel="0" collapsed="false">
      <c r="A19" s="0" t="s">
        <v>954</v>
      </c>
      <c r="B19" s="0" t="s">
        <v>72</v>
      </c>
      <c r="C19" s="17" t="n">
        <f aca="false">MAX(0,-C17)</f>
        <v>350000</v>
      </c>
      <c r="D19" s="17" t="n">
        <f aca="false">MAX(0,C19-D17)</f>
        <v>857400</v>
      </c>
      <c r="E19" s="17" t="n">
        <f aca="false">MAX(0,D19-E17)</f>
        <v>1222200</v>
      </c>
      <c r="F19" s="17" t="n">
        <f aca="false">MAX(0,E19-F17)</f>
        <v>1544400</v>
      </c>
      <c r="G19" s="17" t="n">
        <f aca="false">MAX(0,F19-G17)</f>
        <v>1824000</v>
      </c>
      <c r="H19" s="17" t="n">
        <f aca="false">MAX(0,G19-H17)</f>
        <v>2103600</v>
      </c>
      <c r="I19" s="17" t="n">
        <f aca="false">MAX(0,H19-I17)</f>
        <v>2343200</v>
      </c>
      <c r="J19" s="17" t="n">
        <f aca="false">MAX(0,I19-J17)</f>
        <v>2582800</v>
      </c>
      <c r="K19" s="17" t="n">
        <f aca="false">MAX(0,J19-K17)</f>
        <v>2822400</v>
      </c>
      <c r="L19" s="17" t="n">
        <f aca="false">MAX(0,K19-L17)</f>
        <v>3062000</v>
      </c>
      <c r="M19" s="17" t="n">
        <f aca="false">MAX(0,L19-M17)</f>
        <v>3301600</v>
      </c>
    </row>
    <row r="20" customFormat="false" ht="15" hidden="false" customHeight="false" outlineLevel="0" collapsed="false">
      <c r="A20" s="0" t="s">
        <v>691</v>
      </c>
      <c r="B20" s="0" t="s">
        <v>72</v>
      </c>
      <c r="C20" s="17" t="n">
        <f aca="false">MIN(C18,tax_vpb_low_bracket_limit)*tax_rate_vpb_low_bracket/100+MAX(0,C18-tax_vpb_low_bracket_limit)*tax_rate_vpb_high_bracket/100</f>
        <v>0</v>
      </c>
      <c r="D20" s="17" t="n">
        <f aca="false">MIN(D18,tax_vpb_low_bracket_limit)*tax_rate_vpb_low_bracket/100+MAX(0,D18-tax_vpb_low_bracket_limit)*tax_rate_vpb_high_bracket/100</f>
        <v>0</v>
      </c>
      <c r="E20" s="17" t="n">
        <f aca="false">MIN(E18,tax_vpb_low_bracket_limit)*tax_rate_vpb_low_bracket/100+MAX(0,E18-tax_vpb_low_bracket_limit)*tax_rate_vpb_high_bracket/100</f>
        <v>0</v>
      </c>
      <c r="F20" s="17" t="n">
        <f aca="false">MIN(F18,tax_vpb_low_bracket_limit)*tax_rate_vpb_low_bracket/100+MAX(0,F18-tax_vpb_low_bracket_limit)*tax_rate_vpb_high_bracket/100</f>
        <v>0</v>
      </c>
      <c r="G20" s="17" t="n">
        <f aca="false">MIN(G18,tax_vpb_low_bracket_limit)*tax_rate_vpb_low_bracket/100+MAX(0,G18-tax_vpb_low_bracket_limit)*tax_rate_vpb_high_bracket/100</f>
        <v>0</v>
      </c>
      <c r="H20" s="17" t="n">
        <f aca="false">MIN(H18,tax_vpb_low_bracket_limit)*tax_rate_vpb_low_bracket/100+MAX(0,H18-tax_vpb_low_bracket_limit)*tax_rate_vpb_high_bracket/100</f>
        <v>0</v>
      </c>
      <c r="I20" s="17" t="n">
        <f aca="false">MIN(I18,tax_vpb_low_bracket_limit)*tax_rate_vpb_low_bracket/100+MAX(0,I18-tax_vpb_low_bracket_limit)*tax_rate_vpb_high_bracket/100</f>
        <v>0</v>
      </c>
      <c r="J20" s="17" t="n">
        <f aca="false">MIN(J18,tax_vpb_low_bracket_limit)*tax_rate_vpb_low_bracket/100+MAX(0,J18-tax_vpb_low_bracket_limit)*tax_rate_vpb_high_bracket/100</f>
        <v>0</v>
      </c>
      <c r="K20" s="17" t="n">
        <f aca="false">MIN(K18,tax_vpb_low_bracket_limit)*tax_rate_vpb_low_bracket/100+MAX(0,K18-tax_vpb_low_bracket_limit)*tax_rate_vpb_high_bracket/100</f>
        <v>0</v>
      </c>
      <c r="L20" s="17" t="n">
        <f aca="false">MIN(L18,tax_vpb_low_bracket_limit)*tax_rate_vpb_low_bracket/100+MAX(0,L18-tax_vpb_low_bracket_limit)*tax_rate_vpb_high_bracket/100</f>
        <v>0</v>
      </c>
      <c r="M20" s="17" t="n">
        <f aca="false">MIN(M18,tax_vpb_low_bracket_limit)*tax_rate_vpb_low_bracket/100+MAX(0,M18-tax_vpb_low_bracket_limit)*tax_rate_vpb_high_bracket/100</f>
        <v>0</v>
      </c>
    </row>
    <row r="21" customFormat="false" ht="15" hidden="false" customHeight="false" outlineLevel="0" collapsed="false">
      <c r="A21" s="0" t="s">
        <v>702</v>
      </c>
      <c r="B21" s="0" t="s">
        <v>72</v>
      </c>
      <c r="C21" s="17" t="n">
        <f aca="false">C11*al_receivable_days/365</f>
        <v>0</v>
      </c>
      <c r="D21" s="17" t="n">
        <f aca="false">D11*al_receivable_days/365</f>
        <v>7002.7397260274</v>
      </c>
      <c r="E21" s="17" t="n">
        <f aca="false">E11*al_receivable_days/365</f>
        <v>30443.8356164384</v>
      </c>
      <c r="F21" s="17" t="n">
        <f aca="false">F11*al_receivable_days/365</f>
        <v>37446.5753424658</v>
      </c>
      <c r="G21" s="17" t="n">
        <f aca="false">G11*al_receivable_days/365</f>
        <v>44449.3150684932</v>
      </c>
      <c r="H21" s="17" t="n">
        <f aca="false">H11*al_receivable_days/365</f>
        <v>44449.3150684932</v>
      </c>
      <c r="I21" s="17" t="n">
        <f aca="false">I11*al_receivable_days/365</f>
        <v>44449.3150684932</v>
      </c>
      <c r="J21" s="17" t="n">
        <f aca="false">J11*al_receivable_days/365</f>
        <v>44449.3150684932</v>
      </c>
      <c r="K21" s="17" t="n">
        <f aca="false">K11*al_receivable_days/365</f>
        <v>44449.3150684932</v>
      </c>
      <c r="L21" s="17" t="n">
        <f aca="false">L11*al_receivable_days/365</f>
        <v>44449.3150684932</v>
      </c>
      <c r="M21" s="17" t="n">
        <f aca="false">M11*al_receivable_days/365</f>
        <v>44449.3150684932</v>
      </c>
    </row>
    <row r="22" customFormat="false" ht="15" hidden="false" customHeight="false" outlineLevel="0" collapsed="false">
      <c r="A22" s="0" t="s">
        <v>706</v>
      </c>
      <c r="B22" s="0" t="s">
        <v>72</v>
      </c>
      <c r="C22" s="17" t="n">
        <f aca="false">-C21</f>
        <v>-0</v>
      </c>
      <c r="D22" s="17" t="n">
        <f aca="false">-(D21-C21)</f>
        <v>-7002.7397260274</v>
      </c>
      <c r="E22" s="17" t="n">
        <f aca="false">-(E21-D21)</f>
        <v>-23441.095890411</v>
      </c>
      <c r="F22" s="17" t="n">
        <f aca="false">-(F21-E21)</f>
        <v>-7002.7397260274</v>
      </c>
      <c r="G22" s="17" t="n">
        <f aca="false">-(G21-F21)</f>
        <v>-7002.7397260274</v>
      </c>
      <c r="H22" s="17" t="n">
        <f aca="false">-(H21-G21)</f>
        <v>-0</v>
      </c>
      <c r="I22" s="17" t="n">
        <f aca="false">-(I21-H21)</f>
        <v>-0</v>
      </c>
      <c r="J22" s="17" t="n">
        <f aca="false">-(J21-I21)</f>
        <v>-0</v>
      </c>
      <c r="K22" s="17" t="n">
        <f aca="false">-(K21-J21)</f>
        <v>-0</v>
      </c>
      <c r="L22" s="17" t="n">
        <f aca="false">-(L21-K21)</f>
        <v>-0</v>
      </c>
      <c r="M22" s="17" t="n">
        <f aca="false">-(M21-L21)</f>
        <v>-0</v>
      </c>
    </row>
    <row r="23" customFormat="false" ht="15" hidden="false" customHeight="false" outlineLevel="0" collapsed="false">
      <c r="A23" s="0" t="s">
        <v>955</v>
      </c>
      <c r="B23" s="0" t="s">
        <v>72</v>
      </c>
      <c r="C23" s="17" t="n">
        <f aca="false">IF(C$4=0,-al_capex_t0,0)</f>
        <v>-200000</v>
      </c>
      <c r="D23" s="17" t="n">
        <f aca="false">IF(D$4=0,-al_capex_t0,0)</f>
        <v>0</v>
      </c>
      <c r="E23" s="17" t="n">
        <f aca="false">IF(E$4=0,-al_capex_t0,0)</f>
        <v>0</v>
      </c>
      <c r="F23" s="17" t="n">
        <f aca="false">IF(F$4=0,-al_capex_t0,0)</f>
        <v>0</v>
      </c>
      <c r="G23" s="17" t="n">
        <f aca="false">IF(G$4=0,-al_capex_t0,0)</f>
        <v>0</v>
      </c>
      <c r="H23" s="17" t="n">
        <f aca="false">IF(H$4=0,-al_capex_t0,0)</f>
        <v>0</v>
      </c>
      <c r="I23" s="17" t="n">
        <f aca="false">IF(I$4=0,-al_capex_t0,0)</f>
        <v>0</v>
      </c>
      <c r="J23" s="17" t="n">
        <f aca="false">IF(J$4=0,-al_capex_t0,0)</f>
        <v>0</v>
      </c>
      <c r="K23" s="17" t="n">
        <f aca="false">IF(K$4=0,-al_capex_t0,0)</f>
        <v>0</v>
      </c>
      <c r="L23" s="17" t="n">
        <f aca="false">IF(L$4=0,-al_capex_t0,0)</f>
        <v>0</v>
      </c>
      <c r="M23" s="17" t="n">
        <f aca="false">IF(M$4=0,-al_capex_t0,0)</f>
        <v>0</v>
      </c>
    </row>
    <row r="24" customFormat="false" ht="15" hidden="false" customHeight="false" outlineLevel="0" collapsed="false">
      <c r="A24" s="2" t="s">
        <v>711</v>
      </c>
      <c r="B24" s="8" t="s">
        <v>72</v>
      </c>
      <c r="C24" s="19" t="n">
        <f aca="false">C15-C20+C22+C23</f>
        <v>-550000</v>
      </c>
      <c r="D24" s="19" t="n">
        <f aca="false">D15-D20+D22+D23</f>
        <v>-474402.739726027</v>
      </c>
      <c r="E24" s="19" t="n">
        <f aca="false">E15-E20+E22+E23</f>
        <v>-348241.095890411</v>
      </c>
      <c r="F24" s="19" t="n">
        <f aca="false">F15-F20+F22+F23</f>
        <v>-289202.739726027</v>
      </c>
      <c r="G24" s="19" t="n">
        <f aca="false">G15-G20+G22+G23</f>
        <v>-246602.739726027</v>
      </c>
      <c r="H24" s="19" t="n">
        <f aca="false">H15-H20+H22+H23</f>
        <v>-239600</v>
      </c>
      <c r="I24" s="19" t="n">
        <f aca="false">I15-I20+I22+I23</f>
        <v>-239600</v>
      </c>
      <c r="J24" s="19" t="n">
        <f aca="false">J15-J20+J22+J23</f>
        <v>-239600</v>
      </c>
      <c r="K24" s="19" t="n">
        <f aca="false">K15-K20+K22+K23</f>
        <v>-239600</v>
      </c>
      <c r="L24" s="19" t="n">
        <f aca="false">L15-L20+L22+L23</f>
        <v>-239600</v>
      </c>
      <c r="M24" s="19" t="n">
        <f aca="false">M15-M20+M22+M23</f>
        <v>-239600</v>
      </c>
    </row>
    <row r="25" customFormat="false" ht="15" hidden="false" customHeight="false" outlineLevel="0" collapsed="false">
      <c r="A25" s="0" t="s">
        <v>956</v>
      </c>
      <c r="B25" s="0" t="s">
        <v>72</v>
      </c>
      <c r="C25" s="17" t="n">
        <f aca="false">SUM($C$24:C24)</f>
        <v>-550000</v>
      </c>
      <c r="D25" s="17" t="n">
        <f aca="false">SUM($C$24:D24)</f>
        <v>-1024402.73972603</v>
      </c>
      <c r="E25" s="17" t="n">
        <f aca="false">SUM($C$24:E24)</f>
        <v>-1372643.83561644</v>
      </c>
      <c r="F25" s="17" t="n">
        <f aca="false">SUM($C$24:F24)</f>
        <v>-1661846.57534247</v>
      </c>
      <c r="G25" s="17" t="n">
        <f aca="false">SUM($C$24:G24)</f>
        <v>-1908449.31506849</v>
      </c>
      <c r="H25" s="17" t="n">
        <f aca="false">SUM($C$24:H24)</f>
        <v>-2148049.31506849</v>
      </c>
      <c r="I25" s="17" t="n">
        <f aca="false">SUM($C$24:I24)</f>
        <v>-2387649.31506849</v>
      </c>
      <c r="J25" s="17" t="n">
        <f aca="false">SUM($C$24:J24)</f>
        <v>-2627249.31506849</v>
      </c>
      <c r="K25" s="17" t="n">
        <f aca="false">SUM($C$24:K24)</f>
        <v>-2866849.31506849</v>
      </c>
      <c r="L25" s="17" t="n">
        <f aca="false">SUM($C$24:L24)</f>
        <v>-3106449.31506849</v>
      </c>
      <c r="M25" s="17" t="n">
        <f aca="false">SUM($C$24:M24)</f>
        <v>-3346049.31506849</v>
      </c>
    </row>
    <row r="26" customFormat="false" ht="15" hidden="false" customHeight="false" outlineLevel="0" collapsed="false">
      <c r="A26" s="0" t="s">
        <v>713</v>
      </c>
      <c r="B26" s="0" t="s">
        <v>61</v>
      </c>
      <c r="C26" s="23" t="n">
        <f aca="false">1/(1+discount_rate_real/100)^C$4</f>
        <v>1</v>
      </c>
      <c r="D26" s="23" t="n">
        <f aca="false">1/(1+discount_rate_real/100)^D$4</f>
        <v>0.925925925925926</v>
      </c>
      <c r="E26" s="23" t="n">
        <f aca="false">1/(1+discount_rate_real/100)^E$4</f>
        <v>0.857338820301783</v>
      </c>
      <c r="F26" s="23" t="n">
        <f aca="false">1/(1+discount_rate_real/100)^F$4</f>
        <v>0.79383224102017</v>
      </c>
      <c r="G26" s="23" t="n">
        <f aca="false">1/(1+discount_rate_real/100)^G$4</f>
        <v>0.735029852796453</v>
      </c>
      <c r="H26" s="23" t="n">
        <f aca="false">1/(1+discount_rate_real/100)^H$4</f>
        <v>0.680583197033753</v>
      </c>
      <c r="I26" s="23" t="n">
        <f aca="false">1/(1+discount_rate_real/100)^I$4</f>
        <v>0.630169626883105</v>
      </c>
      <c r="J26" s="23" t="n">
        <f aca="false">1/(1+discount_rate_real/100)^J$4</f>
        <v>0.583490395262134</v>
      </c>
      <c r="K26" s="23" t="n">
        <f aca="false">1/(1+discount_rate_real/100)^K$4</f>
        <v>0.540268884501976</v>
      </c>
      <c r="L26" s="23" t="n">
        <f aca="false">1/(1+discount_rate_real/100)^L$4</f>
        <v>0.500248967131459</v>
      </c>
      <c r="M26" s="23" t="n">
        <f aca="false">1/(1+discount_rate_real/100)^M$4</f>
        <v>0.463193488084684</v>
      </c>
    </row>
    <row r="27" customFormat="false" ht="15" hidden="false" customHeight="false" outlineLevel="0" collapsed="false">
      <c r="A27" s="0" t="s">
        <v>957</v>
      </c>
      <c r="B27" s="0" t="s">
        <v>133</v>
      </c>
      <c r="D27" s="25" t="str">
        <f aca="false">IF(AND(C25&lt;0,D25&gt;=0),D$4-1+(-C25)/(D25-C25),"")</f>
        <v/>
      </c>
      <c r="E27" s="25" t="str">
        <f aca="false">IF(AND(D25&lt;0,E25&gt;=0),E$4-1+(-D25)/(E25-D25),"")</f>
        <v/>
      </c>
      <c r="F27" s="25" t="str">
        <f aca="false">IF(AND(E25&lt;0,F25&gt;=0),F$4-1+(-E25)/(F25-E25),"")</f>
        <v/>
      </c>
      <c r="G27" s="25" t="str">
        <f aca="false">IF(AND(F25&lt;0,G25&gt;=0),G$4-1+(-F25)/(G25-F25),"")</f>
        <v/>
      </c>
      <c r="H27" s="25" t="str">
        <f aca="false">IF(AND(G25&lt;0,H25&gt;=0),H$4-1+(-G25)/(H25-G25),"")</f>
        <v/>
      </c>
      <c r="I27" s="25" t="str">
        <f aca="false">IF(AND(H25&lt;0,I25&gt;=0),I$4-1+(-H25)/(I25-H25),"")</f>
        <v/>
      </c>
      <c r="J27" s="25" t="str">
        <f aca="false">IF(AND(I25&lt;0,J25&gt;=0),J$4-1+(-I25)/(J25-I25),"")</f>
        <v/>
      </c>
      <c r="K27" s="25" t="str">
        <f aca="false">IF(AND(J25&lt;0,K25&gt;=0),K$4-1+(-J25)/(K25-J25),"")</f>
        <v/>
      </c>
      <c r="L27" s="25" t="str">
        <f aca="false">IF(AND(K25&lt;0,L25&gt;=0),L$4-1+(-K25)/(L25-K25),"")</f>
        <v/>
      </c>
      <c r="M27" s="25" t="str">
        <f aca="false">IF(AND(L25&lt;0,M25&gt;=0),M$4-1+(-L25)/(M25-L25),"")</f>
        <v/>
      </c>
    </row>
    <row r="29" customFormat="false" ht="15" hidden="false" customHeight="false" outlineLevel="0" collapsed="false">
      <c r="A29" s="2" t="s">
        <v>958</v>
      </c>
      <c r="C29" s="26" t="n">
        <f aca="false">SUMPRODUCT(Opt_AssetLight!$C$24:$M$24,Opt_AssetLight!$C$26:$M$26)</f>
        <v>-2512811.15315156</v>
      </c>
    </row>
    <row r="30" customFormat="false" ht="15" hidden="false" customHeight="false" outlineLevel="0" collapsed="false">
      <c r="A30" s="2" t="s">
        <v>778</v>
      </c>
      <c r="C30" s="27" t="str">
        <f aca="false">IFERROR(IRR(Opt_AssetLight!$C$24:$M$24,0.1),IFERROR(IRR(Opt_AssetLight!$C$24:$M$24,-0.1),"n/a"))</f>
        <v>n/a</v>
      </c>
    </row>
    <row r="31" customFormat="false" ht="15" hidden="false" customHeight="false" outlineLevel="0" collapsed="false">
      <c r="A31" s="2" t="s">
        <v>959</v>
      </c>
      <c r="C31" s="28" t="str">
        <f aca="false">IF(COUNT(Opt_AssetLight!$D$27:$M$27)=0,"not reached",MIN(Opt_AssetLight!$D$27:$M$27))</f>
        <v>not reached</v>
      </c>
    </row>
    <row r="32" customFormat="false" ht="15" hidden="false" customHeight="false" outlineLevel="0" collapsed="false">
      <c r="A32" s="2" t="s">
        <v>960</v>
      </c>
      <c r="C32" s="26" t="n">
        <f aca="false">Opt_AssetLight!$F$15</f>
        <v>-282200</v>
      </c>
    </row>
    <row r="33" customFormat="false" ht="15" hidden="false" customHeight="false" outlineLevel="0" collapsed="false">
      <c r="A33" s="2" t="s">
        <v>783</v>
      </c>
      <c r="C33" s="26" t="n">
        <f aca="false">MAX(0,-MIN(Opt_AssetLight!$C$25:$M$25))</f>
        <v>3346049.31506849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2026-10-22T11:49:53Z</dcterms:created>
  <dc:creator>openpyxl</dc:creator>
  <dc:description/>
  <dc:language>en-US</dc:language>
  <cp:lastModifiedBy/>
  <dcterms:modified xsi:type="dcterms:W3CDTF">2026-10-22T11:49:55Z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