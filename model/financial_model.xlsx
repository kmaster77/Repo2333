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UnitEconomics" sheetId="3" state="visible" r:id="rId3"/>
    <sheet xmlns:r="http://schemas.openxmlformats.org/officeDocument/2006/relationships" name="Capex" sheetId="4" state="visible" r:id="rId4"/>
    <sheet xmlns:r="http://schemas.openxmlformats.org/officeDocument/2006/relationships" name="Revenue" sheetId="5" state="visible" r:id="rId5"/>
    <sheet xmlns:r="http://schemas.openxmlformats.org/officeDocument/2006/relationships" name="Opex" sheetId="6" state="visible" r:id="rId6"/>
    <sheet xmlns:r="http://schemas.openxmlformats.org/officeDocument/2006/relationships" name="PnL" sheetId="7" state="visible" r:id="rId7"/>
    <sheet xmlns:r="http://schemas.openxmlformats.org/officeDocument/2006/relationships" name="CashFlow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cenario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Viability" sheetId="12" state="visible" r:id="rId12"/>
  </sheets>
  <definedNames>
    <definedName name="scenario">Inputs!$C$3</definedName>
    <definedName name="price_basis">Inputs!$J$6</definedName>
    <definedName name="general_inflation_real_model">Inputs!$J$7</definedName>
    <definedName name="cpi_factor_2025_to_2026">Inputs!$J$8</definedName>
    <definedName name="discount_rate_real">Inputs!$J$9</definedName>
    <definedName name="tax_rate_vpb_low_bracket">Inputs!$J$10</definedName>
    <definedName name="tax_vpb_low_bracket_limit">Inputs!$J$11</definedName>
    <definedName name="tax_rate_vpb_high_bracket">Inputs!$J$12</definedName>
    <definedName name="mia_net_value_pct_eligible_capex">Inputs!$J$13</definedName>
    <definedName name="mia_eligible_share_of_capex">Inputs!$J$14</definedName>
    <definedName name="grant_dei_veki_first_plant">Inputs!$J$15</definedName>
    <definedName name="plant_capacity_hourly">Inputs!$J$16</definedName>
    <definedName name="plant_capacity_theoretical">Inputs!$J$17</definedName>
    <definedName name="output_steady_state">Inputs!$J$18</definedName>
    <definedName name="ramp_year1_pct_of_steady">Inputs!$J$19</definedName>
    <definedName name="ramp_year2_pct_of_steady">Inputs!$J$20</definedName>
    <definedName name="ramp_year3plus_pct_of_steady">Inputs!$J$21</definedName>
    <definedName name="circular_share_of_volume">Inputs!$J$22</definedName>
    <definedName name="public_share_of_sales">Inputs!$J$23</definedName>
    <definedName name="operating_days">Inputs!$J$24</definedName>
    <definedName name="capex_plant_equipment">Inputs!$J$25</definedName>
    <definedName name="capex_site_prep_civil">Inputs!$J$26</definedName>
    <definedName name="capex_permits_engineering">Inputs!$J$27</definedName>
    <definedName name="capex_lca_epd_one_off">Inputs!$J$28</definedName>
    <definedName name="capex_preopening_costs">Inputs!$J$29</definedName>
    <definedName name="capex_truck_mixers_option">Inputs!$J$30</definedName>
    <definedName name="land_purchase">Inputs!$J$31</definedName>
    <definedName name="lifetime_plant_equipment">Inputs!$J$32</definedName>
    <definedName name="lifetime_civil_works">Inputs!$J$33</definedName>
    <definedName name="lifetime_permits_engineering">Inputs!$J$34</definedName>
    <definedName name="salvage_value_yr10_pct_of_plant_civil_capex">Inputs!$J$35</definedName>
    <definedName name="working_capital_receivable_days">Inputs!$J$36</definedName>
    <definedName name="working_capital_payable_days">Inputs!$J$37</definedName>
    <definedName name="working_capital_inventory_days">Inputs!$J$38</definedName>
    <definedName name="sustaining_capex_pct_of_capex">Inputs!$J$39</definedName>
    <definedName name="mix_circ_binder">Inputs!$J$40</definedName>
    <definedName name="mix_circ_gravel">Inputs!$J$41</definedName>
    <definedName name="mix_circ_rca_coarse">Inputs!$J$42</definedName>
    <definedName name="mix_circ_sand">Inputs!$J$43</definedName>
    <definedName name="mix_circ_rca_fine">Inputs!$J$44</definedName>
    <definedName name="mix_circ_water_effective">Inputs!$J$45</definedName>
    <definedName name="mix_circ_water_absorption">Inputs!$J$46</definedName>
    <definedName name="mix_circ_superplasticiser_pct_binder">Inputs!$J$47</definedName>
    <definedName name="mix_conv_cem3b_binder">Inputs!$J$48</definedName>
    <definedName name="mix_conv_cem3b_gravel">Inputs!$J$49</definedName>
    <definedName name="mix_conv_cem3b_rca_coarse">Inputs!$J$50</definedName>
    <definedName name="mix_conv_cem3b_sand">Inputs!$J$51</definedName>
    <definedName name="mix_conv_cem3b_rca_fine">Inputs!$J$52</definedName>
    <definedName name="mix_conv_cem3b_water_effective">Inputs!$J$53</definedName>
    <definedName name="mix_conv_cem3b_water_absorption">Inputs!$J$54</definedName>
    <definedName name="mix_conv_cem3b_superplasticiser_pct_binder">Inputs!$J$55</definedName>
    <definedName name="mix_conv_cem1_binder">Inputs!$J$56</definedName>
    <definedName name="mix_conv_cem1_gravel">Inputs!$J$57</definedName>
    <definedName name="mix_conv_cem1_rca_coarse">Inputs!$J$58</definedName>
    <definedName name="mix_conv_cem1_sand">Inputs!$J$59</definedName>
    <definedName name="mix_conv_cem1_rca_fine">Inputs!$J$60</definedName>
    <definedName name="mix_conv_cem1_water_effective">Inputs!$J$61</definedName>
    <definedName name="mix_conv_cem1_water_absorption">Inputs!$J$62</definedName>
    <definedName name="mix_conv_cem1_superplasticiser_pct_binder">Inputs!$J$63</definedName>
    <definedName name="mix_plant_avg_binder_conv">Inputs!$J$64</definedName>
    <definedName name="mix_plant_avg_binder_circ">Inputs!$J$65</definedName>
    <definedName name="price_cem3b_2026_delivered">Inputs!$J$66</definedName>
    <definedName name="price_cem1_2026_delivered">Inputs!$J$67</definedName>
    <definedName name="cement_carbon_passthrough">Inputs!$J$68</definedName>
    <definedName name="cem3b_slag_scarcity_uplift_2031plus">Inputs!$J$69</definedName>
    <definedName name="concrete_price_passthrough_of_market_binder_cost">Inputs!$J$70</definedName>
    <definedName name="eua_price_2026">Inputs!$J$71</definedName>
    <definedName name="eua_price_2027">Inputs!$J$72</definedName>
    <definedName name="eua_price_2028">Inputs!$J$73</definedName>
    <definedName name="eua_price_2029">Inputs!$J$74</definedName>
    <definedName name="eua_price_2030">Inputs!$J$75</definedName>
    <definedName name="eua_price_2031">Inputs!$J$76</definedName>
    <definedName name="eua_price_2032">Inputs!$J$77</definedName>
    <definedName name="eua_price_2033">Inputs!$J$78</definedName>
    <definedName name="eua_price_2034">Inputs!$J$79</definedName>
    <definedName name="eua_price_2035">Inputs!$J$80</definedName>
    <definedName name="eua_price_2036">Inputs!$J$81</definedName>
    <definedName name="carbon_cost_cem1_2026">Inputs!$J$82</definedName>
    <definedName name="carbon_cost_cem1_2027">Inputs!$J$83</definedName>
    <definedName name="carbon_cost_cem1_2028">Inputs!$J$84</definedName>
    <definedName name="carbon_cost_cem1_2029">Inputs!$J$85</definedName>
    <definedName name="carbon_cost_cem1_2030">Inputs!$J$86</definedName>
    <definedName name="carbon_cost_cem1_2031">Inputs!$J$87</definedName>
    <definedName name="carbon_cost_cem1_2032">Inputs!$J$88</definedName>
    <definedName name="carbon_cost_cem1_2033">Inputs!$J$89</definedName>
    <definedName name="carbon_cost_cem1_2034">Inputs!$J$90</definedName>
    <definedName name="carbon_cost_cem1_2035">Inputs!$J$91</definedName>
    <definedName name="carbon_cost_cem1_2036">Inputs!$J$92</definedName>
    <definedName name="carbon_cost_cem3b_2026">Inputs!$J$93</definedName>
    <definedName name="carbon_cost_cem3b_2027">Inputs!$J$94</definedName>
    <definedName name="carbon_cost_cem3b_2028">Inputs!$J$95</definedName>
    <definedName name="carbon_cost_cem3b_2029">Inputs!$J$96</definedName>
    <definedName name="carbon_cost_cem3b_2030">Inputs!$J$97</definedName>
    <definedName name="carbon_cost_cem3b_2031">Inputs!$J$98</definedName>
    <definedName name="carbon_cost_cem3b_2032">Inputs!$J$99</definedName>
    <definedName name="carbon_cost_cem3b_2033">Inputs!$J$100</definedName>
    <definedName name="carbon_cost_cem3b_2034">Inputs!$J$101</definedName>
    <definedName name="carbon_cost_cem3b_2035">Inputs!$J$102</definedName>
    <definedName name="carbon_cost_cem3b_2036">Inputs!$J$103</definedName>
    <definedName name="price_gravel_delivered">Inputs!$J$104</definedName>
    <definedName name="price_sand_delivered">Inputs!$J$105</definedName>
    <definedName name="price_rca_coarse_exworks">Inputs!$J$106</definedName>
    <definedName name="rca_transport_distance">Inputs!$J$107</definedName>
    <definedName name="road_haulage_rate">Inputs!$J$108</definedName>
    <definedName name="road_handling_per_t">Inputs!$J$109</definedName>
    <definedName name="price_rca_coarse_delivered">Inputs!$J$110</definedName>
    <definedName name="barge_rate">Inputs!$J$111</definedName>
    <definedName name="barge_transshipment_per_t">Inputs!$J$112</definedName>
    <definedName name="price_rca_fine_exworks">Inputs!$J$113</definedName>
    <definedName name="price_superplasticiser">Inputs!$J$114</definedName>
    <definedName name="price_water">Inputs!$J$115</definedName>
    <definedName name="rca_lot_testing">Inputs!$J$116</definedName>
    <definedName name="rca_handling_prewetting">Inputs!$J$117</definedName>
    <definedName name="electricity_use">Inputs!$J$118</definedName>
    <definedName name="price_electricity">Inputs!$J$119</definedName>
    <definedName name="diesel_use_plant">Inputs!$J$120</definedName>
    <definedName name="price_diesel">Inputs!$J$121</definedName>
    <definedName name="staff_production_fte">Inputs!$J$122</definedName>
    <definedName name="cost_per_fte_production">Inputs!$J$123</definedName>
    <definedName name="staff_sga_fte">Inputs!$J$124</definedName>
    <definedName name="cost_per_fte_sga">Inputs!$J$125</definedName>
    <definedName name="real_wage_growth">Inputs!$J$126</definedName>
    <definedName name="maintenance_pct_of_capex">Inputs!$J$127</definedName>
    <definedName name="certification_testing_fixed">Inputs!$J$128</definedName>
    <definedName name="site_area">Inputs!$J$129</definedName>
    <definedName name="site_lease_rate">Inputs!$J$130</definedName>
    <definedName name="sga_fixed_non_staff">Inputs!$J$131</definedName>
    <definedName name="bad_debt_pct_revenue">Inputs!$J$132</definedName>
    <definedName name="delivery_fixed_per_m3">Inputs!$J$133</definedName>
    <definedName name="delivery_variable_per_km_oneway">Inputs!$J$134</definedName>
    <definedName name="delivery_avg_distance_oneway">Inputs!$J$135</definedName>
    <definedName name="delivery_radius_max">Inputs!$J$136</definedName>
    <definedName name="truck_mixer_hourly_cost">Inputs!$J$137</definedName>
    <definedName name="price_c30_37_project_delivered">Inputs!$J$138</definedName>
    <definedName name="price_plant_avg_all_classes">Inputs!$J$139</definedName>
    <definedName name="price_list_c30_37">Inputs!$J$140</definedName>
    <definedName name="green_premium_public">Inputs!$J$141</definedName>
    <definedName name="green_premium_private">Inputs!$J$142</definedName>
    <definedName name="recycled_surcharge_list_evidence">Inputs!$J$143</definedName>
    <definedName name="mki_value_to_supplier">Inputs!$J$144</definedName>
    <definedName name="mki_tender_share_of_public_volume">Inputs!$J$145</definedName>
    <definedName name="price_real_escalation">Inputs!$J$146</definedName>
    <definedName name="gwp_cem3b">Inputs!$J$147</definedName>
    <definedName name="gwp_cem1">Inputs!$J$148</definedName>
    <definedName name="gwp_other_per_m3_conv">Inputs!$J$149</definedName>
    <definedName name="gwp_other_per_m3_circ">Inputs!$J$150</definedName>
    <definedName name="co2_per_m3_conv_cem3b">Inputs!$J$151</definedName>
    <definedName name="co2_per_m3_circ">Inputs!$J$152</definedName>
    <definedName name="co2_per_m3_conv_cem1">Inputs!$J$153</definedName>
    <definedName name="mki_per_m3_conv_cem3b_betonakkoord_basis">Inputs!$J$154</definedName>
    <definedName name="mki_per_m3_circ_betonakkoord_basis">Inputs!$J$155</definedName>
    <definedName name="mki_per_m3_conv_cem1_betonakkoord_basis">Inputs!$J$156</definedName>
    <definedName name="mki_a2_set_multiplier">Inputs!$J$157</definedName>
    <definedName name="nmd_cat3_surcharge">Inputs!$J$158</definedName>
    <definedName name="hybrid_rubble_needed">Inputs!$J$159</definedName>
    <definedName name="hybrid_crusher_capex_mobile">Inputs!$J$160</definedName>
    <definedName name="hybrid_crusher_capex_stationary_highgrade">Inputs!$J$161</definedName>
    <definedName name="hybrid_crusher_capex_advanced">Inputs!$J$162</definedName>
    <definedName name="hybrid_crusher_lifetime">Inputs!$J$163</definedName>
    <definedName name="hybrid_gate_fee_received">Inputs!$J$164</definedName>
    <definedName name="hybrid_yield_coarse">Inputs!$J$165</definedName>
    <definedName name="hybrid_yield_sand_0_4">Inputs!$J$166</definedName>
    <definedName name="hybrid_yield_steel">Inputs!$J$167</definedName>
    <definedName name="hybrid_yield_contaminants">Inputs!$J$168</definedName>
    <definedName name="hybrid_value_coarse_internal">Inputs!$J$169</definedName>
    <definedName name="hybrid_price_crusher_sand">Inputs!$J$170</definedName>
    <definedName name="hybrid_price_steel_scrap">Inputs!$J$171</definedName>
    <definedName name="hybrid_cost_contaminant_disposal">Inputs!$J$172</definedName>
    <definedName name="hybrid_crusher_diesel">Inputs!$J$173</definedName>
    <definedName name="hybrid_crusher_wear">Inputs!$J$174</definedName>
    <definedName name="hybrid_crusher_staff_fte">Inputs!$J$175</definedName>
    <definedName name="hybrid_crusher_maintenance_pct_capex">Inputs!$J$176</definedName>
    <definedName name="hybrid_brl2506_certification">Inputs!$J$177</definedName>
    <definedName name="hybrid_extra_site_area">Inputs!$J$178</definedName>
    <definedName name="hybrid_permit_lead_time">Inputs!$J$179</definedName>
    <definedName name="opt_extra_capex_y0">Inputs!$J$181</definedName>
    <definedName name="opt_extra_revenue_per_yr">Inputs!$J$182</definedName>
    <definedName name="opt_extra_opex_per_yr">Inputs!$J$183</definedName>
    <definedName name="opt_price_delta_per_m3">Inputs!$J$184</definedName>
    <definedName name="opt_cost_delta_per_m3">Inputs!$J$185</definedName>
    <definedName name="kpi_npv">Valuation!$B$5</definedName>
    <definedName name="kpi_npv_check">Valuation!$B$6</definedName>
    <definedName name="kpi_discount_rate">Valuation!$B$7</definedName>
    <definedName name="kpi_irr">Valuation!$B$8</definedName>
    <definedName name="kpi_payback">Valuation!$B$9</definedName>
    <definedName name="kpi_dpayback">Valuation!$B$10</definedName>
    <definedName name="kpi_ebitda_y3">Valuation!$B$11</definedName>
    <definedName name="kpi_ebitda_y1">Valuation!$B$12</definedName>
    <definedName name="kpi_ebitda_y10">Valuation!$B$13</definedName>
    <definedName name="kpi_funding">Valuation!$B$14</definedName>
    <definedName name="kpi_capex">Valuation!$B$15</definedName>
    <definedName name="kpi_npv_pct">Valuation!$B$16</definedName>
    <definedName name="kpi_npv_wc">Valuation!$B$17</definedName>
    <definedName name="kpi_rev_y3">Valuation!$B$18</definedName>
    <definedName name="kpi_unit_contrib">Valuation!$B$19</definedName>
    <definedName name="kpi_be_vol">Valuation!$B$20</definedName>
    <definedName name="kpi_cap_charge">Valuation!$B$21</definedName>
    <definedName name="kpi_be_vol_cc">Valuation!$B$22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"/>
    <numFmt numFmtId="165" formatCode="0.0%"/>
    <numFmt numFmtId="166" formatCode="#,##0.00;[Red]-#,##0.00"/>
    <numFmt numFmtId="167" formatCode="0.0000"/>
    <numFmt numFmtId="168" formatCode="0.0"/>
  </numFmts>
  <fonts count="13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0000FF"/>
      <sz val="12"/>
    </font>
    <font>
      <i val="1"/>
      <color rgb="007F7F7F"/>
    </font>
    <font>
      <b val="1"/>
      <color rgb="00FFFFFF"/>
    </font>
    <font>
      <color rgb="000000FF"/>
    </font>
    <font>
      <b val="1"/>
      <color rgb="0044546A"/>
    </font>
    <font>
      <b val="1"/>
      <color rgb="0044546A"/>
      <sz val="11"/>
    </font>
    <font>
      <color rgb="00000000"/>
    </font>
    <font>
      <b val="1"/>
      <color rgb="007F7F7F"/>
    </font>
    <font>
      <b val="1"/>
      <sz val="13"/>
    </font>
    <font>
      <b val="1"/>
      <color rgb="00C00000"/>
      <sz val="13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546A"/>
      </patternFill>
    </fill>
    <fill>
      <patternFill patternType="solid">
        <fgColor rgb="00E7E6E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vertical="center" wrapText="1"/>
    </xf>
    <xf numFmtId="0" fontId="6" fillId="2" borderId="0" pivotButton="0" quotePrefix="0" xfId="0"/>
    <xf numFmtId="0" fontId="7" fillId="0" borderId="0" pivotButton="0" quotePrefix="0" xfId="0"/>
    <xf numFmtId="166" fontId="2" fillId="4" borderId="0" pivotButton="0" quotePrefix="0" xfId="0"/>
    <xf numFmtId="166" fontId="0" fillId="0" borderId="0" pivotButton="0" quotePrefix="0" xfId="0"/>
    <xf numFmtId="166" fontId="0" fillId="5" borderId="0" pivotButton="0" quotePrefix="0" xfId="0"/>
    <xf numFmtId="165" fontId="0" fillId="0" borderId="0" pivotButton="0" quotePrefix="0" xfId="0"/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0" fillId="3" borderId="0" pivotButton="0" quotePrefix="0" xfId="0"/>
    <xf numFmtId="0" fontId="8" fillId="0" borderId="0" pivotButton="0" quotePrefix="0" xfId="0"/>
    <xf numFmtId="164" fontId="9" fillId="0" borderId="0" pivotButton="0" quotePrefix="0" xfId="0"/>
    <xf numFmtId="164" fontId="2" fillId="4" borderId="0" pivotButton="0" quotePrefix="0" xfId="0"/>
    <xf numFmtId="165" fontId="9" fillId="0" borderId="0" pivotButton="0" quotePrefix="0" xfId="0"/>
    <xf numFmtId="166" fontId="9" fillId="0" borderId="0" pivotButton="0" quotePrefix="0" xfId="0"/>
    <xf numFmtId="10" fontId="9" fillId="0" borderId="0" pivotButton="0" quotePrefix="0" xfId="0"/>
    <xf numFmtId="1" fontId="9" fillId="0" borderId="0" pivotButton="0" quotePrefix="0" xfId="0"/>
    <xf numFmtId="167" fontId="9" fillId="0" borderId="0" pivotButton="0" quotePrefix="0" xfId="0"/>
    <xf numFmtId="164" fontId="9" fillId="5" borderId="0" pivotButton="0" quotePrefix="0" xfId="0"/>
    <xf numFmtId="2" fontId="9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0" fontId="10" fillId="0" borderId="0" pivotButton="0" quotePrefix="0" xfId="0"/>
    <xf numFmtId="164" fontId="4" fillId="0" borderId="0" pivotButton="0" quotePrefix="0" xfId="0"/>
    <xf numFmtId="166" fontId="4" fillId="0" borderId="0" pivotButton="0" quotePrefix="0" xfId="0"/>
    <xf numFmtId="0" fontId="0" fillId="0" borderId="0" applyAlignment="1" pivotButton="0" quotePrefix="0" xfId="0">
      <alignment wrapText="1"/>
    </xf>
    <xf numFmtId="165" fontId="4" fillId="0" borderId="0" pivotButton="0" quotePrefix="0" xfId="0"/>
    <xf numFmtId="168" fontId="4" fillId="0" borderId="0" pivotButton="0" quotePrefix="0" xfId="0"/>
    <xf numFmtId="164" fontId="0" fillId="0" borderId="0" pivotButton="0" quotePrefix="0" xfId="0"/>
    <xf numFmtId="168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Financial model - B1 circular ready-mix plant, Zuid-Holland (Rotterdam-Drechtsteden)</t>
        </is>
      </c>
    </row>
    <row r="2">
      <c r="A2" t="inlineStr">
        <is>
          <t>Built by model/build_model.py from model/inputs.csv. Same model as model/model_core.py (checked: model/check_report.md).</t>
        </is>
      </c>
    </row>
    <row r="3">
      <c r="A3" t="inlineStr"/>
    </row>
    <row r="4">
      <c r="A4" s="2" t="inlineStr">
        <is>
          <t>COLOUR CODE</t>
        </is>
      </c>
    </row>
    <row r="5">
      <c r="A5" t="inlineStr">
        <is>
          <t>Blue font (yellow fill) = input you may change. Black font = live formula. Grey italic = value computed by model_core.py (not live). Green fill = check (must be 0).</t>
        </is>
      </c>
    </row>
    <row r="6">
      <c r="A6" s="3" t="inlineStr"/>
    </row>
    <row r="7">
      <c r="A7" s="2" t="inlineStr">
        <is>
          <t>HOW IT WORKS</t>
        </is>
      </c>
    </row>
    <row r="8">
      <c r="A8" t="inlineStr">
        <is>
          <t>1. Inputs: every parameter has low/base/high. Cell Inputs!C3 picks the scenario (1 pessimistic, 2 base, 3 optimistic).</t>
        </is>
      </c>
    </row>
    <row r="9">
      <c r="A9" t="inlineStr">
        <is>
          <t xml:space="preserve">   Column H picks the column per parameter; column I is an OVERRIDE; column J is the ACTIVE value. Each active cell has a defined name = parameter name.</t>
        </is>
      </c>
    </row>
    <row r="10">
      <c r="A10" t="inlineStr">
        <is>
          <t xml:space="preserve">   Pessimistic = high column for cost-type inputs, low column for revenue-type inputs (column N 'direction'). 'fixed' inputs stay at base in all scenarios.</t>
        </is>
      </c>
    </row>
    <row r="11">
      <c r="A11" t="inlineStr">
        <is>
          <t>2. Capex -&gt; Revenue -&gt; Opex -&gt; PnL -&gt; CashFlow -&gt; Valuation. Yearly sheets: column C = 2026 (t=0), D..M = 2027..2036 (t=1..10).</t>
        </is>
      </c>
    </row>
    <row r="12">
      <c r="A12" t="inlineStr">
        <is>
          <t>3. UnitEconomics: EUR/m3 stack for circular vs standard mix and plant average, for the year in UnitEconomics!C3.</t>
        </is>
      </c>
    </row>
    <row r="13">
      <c r="A13" t="inlineStr">
        <is>
          <t>4. Scenarios, Sensitivity, Viability criterion 4: computed with model_core.py (one model run per case) and pasted as values.</t>
        </is>
      </c>
    </row>
    <row r="14">
      <c r="A14" t="inlineStr"/>
    </row>
    <row r="15">
      <c r="A15" s="2" t="inlineStr">
        <is>
          <t>KEY CONVENTIONS</t>
        </is>
      </c>
    </row>
    <row r="16">
      <c r="A16" t="inlineStr">
        <is>
          <t>Real 2026 EUR excl. VAT, no general inflation. Discount rate 8% real (6% / 10% tested in Sensitivity).</t>
        </is>
      </c>
    </row>
    <row r="17">
      <c r="A17" t="inlineStr">
        <is>
          <t>Timing: 2026 (t=0) = permitting + construction; all initial capex, start-up costs (pre-opening, LCA/EPD) and grant in t=0, undiscounted.</t>
        </is>
      </c>
    </row>
    <row r="18">
      <c r="A18" t="inlineStr">
        <is>
          <t xml:space="preserve">   Operations 2027-2036 (t=1..10). Ramp: 50% / 79% / 100% of 70,000 m3 in 2027 / 2028 / 2029+. NOTE: starting sales in 2027 is optimistic</t>
        </is>
      </c>
    </row>
    <row r="19">
      <c r="A19" t="inlineStr">
        <is>
          <t xml:space="preserve">   (technology.md: 12-18 months build incl. permit from late 2026). A one-year delay is not in the base case.</t>
        </is>
      </c>
    </row>
    <row r="20">
      <c r="A20" t="inlineStr">
        <is>
          <t>Price/cost basis: plant average over all strength classes (EUR 135/m3, ~310 kg cement), NOT C30/37 (Agent 5 advice).</t>
        </is>
      </c>
    </row>
    <row r="21">
      <c r="A21" t="inlineStr">
        <is>
          <t>Concrete price follows 80% of the market-wide CEM III/B carbon &amp; slag cost increase. Green premium only on circular volume.</t>
        </is>
      </c>
    </row>
    <row r="22">
      <c r="A22" t="inlineStr">
        <is>
          <t>Tax: Vpb 19% to EUR 200k, 25.8% above; losses carried forward; MIA as extra deduction in t=0; grant taxable in t=0. Unlevered (no debt).</t>
        </is>
      </c>
    </row>
    <row r="23">
      <c r="A23" t="inlineStr">
        <is>
          <t>Terminal value = salvage value of plant+civil only (25%), tax-neutral, in 2036. Working capital NOT released (memo on Valuation).</t>
        </is>
      </c>
    </row>
    <row r="24">
      <c r="A24" t="inlineStr">
        <is>
          <t>Payback uses cumulative FCF excluding salvage, interpolated; measured from t=0 (2026).</t>
        </is>
      </c>
    </row>
    <row r="25">
      <c r="A25" t="inlineStr">
        <is>
          <t>Funding need = peak cumulative negative free cash flow (before any financing).</t>
        </is>
      </c>
    </row>
    <row r="26">
      <c r="A26" t="inlineStr"/>
    </row>
    <row r="27">
      <c r="A27" s="2" t="inlineStr">
        <is>
          <t>ADDING OPTION SCENARIOS (for Agent 7)</t>
        </is>
      </c>
    </row>
    <row r="28">
      <c r="A28" t="inlineStr">
        <is>
          <t>a) Fill the Override column (Inputs!I) or the option hooks (opt_*, bottom of Inputs). Nothing else needs to change.</t>
        </is>
      </c>
    </row>
    <row r="29">
      <c r="A29" t="inlineStr">
        <is>
          <t>b) In Python: model_core.run(load_inputs(), overrides={...}); build a copy of this workbook with build_model.build_workbook(path, overrides={...}).</t>
        </is>
      </c>
    </row>
    <row r="30">
      <c r="A30" t="inlineStr">
        <is>
          <t>c) For a new option sheet: add a sheet that reads the defined names / kpi_* names (e.g. kpi_npv) or paste model_core results.</t>
        </is>
      </c>
    </row>
    <row r="31">
      <c r="A31" t="inlineStr"/>
    </row>
    <row r="32">
      <c r="A32" s="2" t="inlineStr">
        <is>
          <t>FILES</t>
        </is>
      </c>
    </row>
    <row r="33">
      <c r="A33" t="inlineStr">
        <is>
          <t>model/inputs.csv, model/model_core.py, model/build_model.py, model/check_model.py, model/charts.py, model/charts/*.png, model/model_summary.md, model/check_report.md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1" customWidth="1" min="3" max="3"/>
    <col width="11" customWidth="1" min="4" max="4"/>
    <col width="11" customWidth="1" min="5" max="5"/>
    <col width="8" customWidth="1" min="6" max="6"/>
    <col width="8" customWidth="1" min="7" max="7"/>
    <col width="12" customWidth="1" min="8" max="8"/>
    <col width="11" customWidth="1" min="9" max="9"/>
    <col width="12" customWidth="1" min="10" max="10"/>
    <col width="11" customWidth="1" min="11" max="11"/>
    <col width="22" customWidth="1" min="12" max="12"/>
    <col width="60" customWidth="1" min="13" max="13"/>
    <col width="9" customWidth="1" min="14" max="14"/>
  </cols>
  <sheetData>
    <row r="1">
      <c r="A1" s="1" t="inlineStr">
        <is>
          <t>Inputs - all model parameters (from model/inputs.csv) + option hooks</t>
        </is>
      </c>
    </row>
    <row r="3">
      <c r="A3" s="2" t="inlineStr">
        <is>
          <t>ACTIVE SCENARIO (1 = pessimistic, 2 = base, 3 = optimistic)</t>
        </is>
      </c>
      <c r="C3" s="4" t="n">
        <v>2</v>
      </c>
      <c r="D3" s="2">
        <f>CHOOSE(scenario,"Pessimistic","Base","Optimistic")</f>
        <v/>
      </c>
    </row>
    <row r="4">
      <c r="A4" s="5" t="inlineStr">
        <is>
          <t>Column H picks low/base/high per row: pessimistic uses column F, optimistic column G (1=low, 2=base, 3=high). Column I = OVERRIDE (leave empty = use H). Column J = ACTIVE value used by every formula (defined name = parameter name).</t>
        </is>
      </c>
    </row>
    <row r="5">
      <c r="A5" s="6" t="inlineStr">
        <is>
          <t>parameter (= defined name)</t>
        </is>
      </c>
      <c r="B5" s="6" t="inlineStr">
        <is>
          <t>unit</t>
        </is>
      </c>
      <c r="C5" s="6" t="inlineStr">
        <is>
          <t>low</t>
        </is>
      </c>
      <c r="D5" s="6" t="inlineStr">
        <is>
          <t>base</t>
        </is>
      </c>
      <c r="E5" s="6" t="inlineStr">
        <is>
          <t>high</t>
        </is>
      </c>
      <c r="F5" s="6" t="inlineStr">
        <is>
          <t>pess. col</t>
        </is>
      </c>
      <c r="G5" s="6" t="inlineStr">
        <is>
          <t>opt. col</t>
        </is>
      </c>
      <c r="H5" s="6" t="inlineStr">
        <is>
          <t>scenario value</t>
        </is>
      </c>
      <c r="I5" s="6" t="inlineStr">
        <is>
          <t>OVERRIDE</t>
        </is>
      </c>
      <c r="J5" s="6" t="inlineStr">
        <is>
          <t>ACTIVE</t>
        </is>
      </c>
      <c r="K5" s="6" t="inlineStr">
        <is>
          <t>label</t>
        </is>
      </c>
      <c r="L5" s="6" t="inlineStr">
        <is>
          <t>source_ids</t>
        </is>
      </c>
      <c r="M5" s="6" t="inlineStr">
        <is>
          <t>notes</t>
        </is>
      </c>
      <c r="N5" s="6" t="inlineStr">
        <is>
          <t>direction</t>
        </is>
      </c>
    </row>
    <row r="6">
      <c r="A6" t="inlineStr">
        <is>
          <t>price_basis</t>
        </is>
      </c>
      <c r="B6" t="inlineStr">
        <is>
          <t>-</t>
        </is>
      </c>
      <c r="C6" s="3" t="inlineStr">
        <is>
          <t>real 2026 EUR excl. VAT</t>
        </is>
      </c>
      <c r="D6" s="3" t="inlineStr">
        <is>
          <t>real 2026 EUR excl. VAT</t>
        </is>
      </c>
      <c r="E6" s="3" t="inlineStr">
        <is>
          <t>real 2026 EUR excl. VAT</t>
        </is>
      </c>
      <c r="F6" s="3" t="n">
        <v>2</v>
      </c>
      <c r="G6" s="3" t="n">
        <v>2</v>
      </c>
      <c r="H6">
        <f>INDEX(C6:E6,1,CHOOSE(scenario,F6,2,G6))</f>
        <v/>
      </c>
      <c r="I6" s="7" t="n"/>
      <c r="J6" s="2">
        <f>IF(I6="",H6,I6)</f>
        <v/>
      </c>
      <c r="K6" t="inlineStr">
        <is>
          <t>ASSUMPTION</t>
        </is>
      </c>
      <c r="L6" t="inlineStr">
        <is>
          <t>plan.md</t>
        </is>
      </c>
      <c r="M6" t="inlineStr">
        <is>
          <t>All money in real 2026 EUR; general inflation = 0 in the model; only explicit real escalations below</t>
        </is>
      </c>
      <c r="N6" t="inlineStr">
        <is>
          <t>fixed</t>
        </is>
      </c>
    </row>
    <row r="7">
      <c r="A7" t="inlineStr">
        <is>
          <t>general_inflation_real_model</t>
        </is>
      </c>
      <c r="B7" t="inlineStr">
        <is>
          <t>%/yr</t>
        </is>
      </c>
      <c r="C7" s="3" t="n">
        <v>0</v>
      </c>
      <c r="D7" s="3" t="n">
        <v>0</v>
      </c>
      <c r="E7" s="3" t="n">
        <v>0</v>
      </c>
      <c r="F7" s="3" t="n">
        <v>2</v>
      </c>
      <c r="G7" s="3" t="n">
        <v>2</v>
      </c>
      <c r="H7">
        <f>INDEX(C7:E7,1,CHOOSE(scenario,F7,2,G7))</f>
        <v/>
      </c>
      <c r="I7" s="7" t="n"/>
      <c r="J7" s="2">
        <f>IF(I7="",H7,I7)</f>
        <v/>
      </c>
      <c r="K7" t="inlineStr">
        <is>
          <t>ASSUMPTION</t>
        </is>
      </c>
      <c r="L7" t="inlineStr">
        <is>
          <t>plan.md</t>
        </is>
      </c>
      <c r="M7" t="inlineStr">
        <is>
          <t>Real model. CBS CPI 2026 ~3.4% only used to convert older prices (TEC-44)</t>
        </is>
      </c>
      <c r="N7" t="inlineStr">
        <is>
          <t>fixed</t>
        </is>
      </c>
    </row>
    <row r="8">
      <c r="A8" t="inlineStr">
        <is>
          <t>cpi_factor_2025_to_2026</t>
        </is>
      </c>
      <c r="B8" t="inlineStr">
        <is>
          <t>x</t>
        </is>
      </c>
      <c r="C8" s="3" t="n">
        <v>1.02</v>
      </c>
      <c r="D8" s="3" t="n">
        <v>1.022</v>
      </c>
      <c r="E8" s="3" t="n">
        <v>1.03</v>
      </c>
      <c r="F8" s="3" t="n">
        <v>2</v>
      </c>
      <c r="G8" s="3" t="n">
        <v>2</v>
      </c>
      <c r="H8">
        <f>INDEX(C8:E8,1,CHOOSE(scenario,F8,2,G8))</f>
        <v/>
      </c>
      <c r="I8" s="7" t="n"/>
      <c r="J8" s="2">
        <f>IF(I8="",H8,I8)</f>
        <v/>
      </c>
      <c r="K8" t="inlineStr">
        <is>
          <t>ESTIMATE</t>
        </is>
      </c>
      <c r="L8" t="inlineStr">
        <is>
          <t>MKT-54</t>
        </is>
      </c>
      <c r="M8" t="inlineStr">
        <is>
          <t>CBS CPI Jan-2026 99.21 / Jan-2025 97.09 = 1.022; replaces placeholder A-CMP-15</t>
        </is>
      </c>
      <c r="N8" t="inlineStr">
        <is>
          <t>fixed</t>
        </is>
      </c>
    </row>
    <row r="9">
      <c r="A9" t="inlineStr">
        <is>
          <t>discount_rate_real</t>
        </is>
      </c>
      <c r="B9" t="inlineStr">
        <is>
          <t>%</t>
        </is>
      </c>
      <c r="C9" s="3" t="n">
        <v>6</v>
      </c>
      <c r="D9" s="3" t="n">
        <v>8</v>
      </c>
      <c r="E9" s="3" t="n">
        <v>10</v>
      </c>
      <c r="F9" s="3" t="n">
        <v>2</v>
      </c>
      <c r="G9" s="3" t="n">
        <v>2</v>
      </c>
      <c r="H9">
        <f>INDEX(C9:E9,1,CHOOSE(scenario,F9,2,G9))</f>
        <v/>
      </c>
      <c r="I9" s="7" t="n"/>
      <c r="J9" s="2">
        <f>IF(I9="",H9,I9)</f>
        <v/>
      </c>
      <c r="K9" t="inlineStr">
        <is>
          <t>ASSUMPTION</t>
        </is>
      </c>
      <c r="L9" t="inlineStr">
        <is>
          <t>plan.md</t>
        </is>
      </c>
      <c r="M9" t="inlineStr">
        <is>
          <t>Client choice</t>
        </is>
      </c>
      <c r="N9" t="inlineStr">
        <is>
          <t>fixed</t>
        </is>
      </c>
    </row>
    <row r="10">
      <c r="A10" t="inlineStr">
        <is>
          <t>tax_rate_vpb_low_bracket</t>
        </is>
      </c>
      <c r="B10" t="inlineStr">
        <is>
          <t>%</t>
        </is>
      </c>
      <c r="C10" s="3" t="n">
        <v>19</v>
      </c>
      <c r="D10" s="3" t="n">
        <v>19</v>
      </c>
      <c r="E10" s="3" t="n">
        <v>19</v>
      </c>
      <c r="F10" s="3" t="n">
        <v>2</v>
      </c>
      <c r="G10" s="3" t="n">
        <v>2</v>
      </c>
      <c r="H10">
        <f>INDEX(C10:E10,1,CHOOSE(scenario,F10,2,G10))</f>
        <v/>
      </c>
      <c r="I10" s="7" t="n"/>
      <c r="J10" s="2">
        <f>IF(I10="",H10,I10)</f>
        <v/>
      </c>
      <c r="K10" t="inlineStr">
        <is>
          <t>ASSUMPTION</t>
        </is>
      </c>
      <c r="L10" t="inlineStr">
        <is>
          <t>A-CST-30</t>
        </is>
      </c>
      <c r="M10" t="inlineStr">
        <is>
          <t>Dutch Vpb on first EUR 200k taxable profit (rate in force 2023-2026; not re-checked this session)</t>
        </is>
      </c>
      <c r="N10" t="inlineStr">
        <is>
          <t>fixed</t>
        </is>
      </c>
    </row>
    <row r="11">
      <c r="A11" t="inlineStr">
        <is>
          <t>tax_vpb_low_bracket_limit</t>
        </is>
      </c>
      <c r="B11" t="inlineStr">
        <is>
          <t>EUR</t>
        </is>
      </c>
      <c r="C11" s="3" t="n">
        <v>200000</v>
      </c>
      <c r="D11" s="3" t="n">
        <v>200000</v>
      </c>
      <c r="E11" s="3" t="n">
        <v>200000</v>
      </c>
      <c r="F11" s="3" t="n">
        <v>2</v>
      </c>
      <c r="G11" s="3" t="n">
        <v>2</v>
      </c>
      <c r="H11">
        <f>INDEX(C11:E11,1,CHOOSE(scenario,F11,2,G11))</f>
        <v/>
      </c>
      <c r="I11" s="7" t="n"/>
      <c r="J11" s="2">
        <f>IF(I11="",H11,I11)</f>
        <v/>
      </c>
      <c r="K11" t="inlineStr">
        <is>
          <t>ASSUMPTION</t>
        </is>
      </c>
      <c r="L11" t="inlineStr">
        <is>
          <t>A-CST-30</t>
        </is>
      </c>
      <c r="M11" t="inlineStr"/>
      <c r="N11" t="inlineStr">
        <is>
          <t>fixed</t>
        </is>
      </c>
    </row>
    <row r="12">
      <c r="A12" t="inlineStr">
        <is>
          <t>tax_rate_vpb_high_bracket</t>
        </is>
      </c>
      <c r="B12" t="inlineStr">
        <is>
          <t>%</t>
        </is>
      </c>
      <c r="C12" s="3" t="n">
        <v>25.8</v>
      </c>
      <c r="D12" s="3" t="n">
        <v>25.8</v>
      </c>
      <c r="E12" s="3" t="n">
        <v>25.8</v>
      </c>
      <c r="F12" s="3" t="n">
        <v>2</v>
      </c>
      <c r="G12" s="3" t="n">
        <v>2</v>
      </c>
      <c r="H12">
        <f>INDEX(C12:E12,1,CHOOSE(scenario,F12,2,G12))</f>
        <v/>
      </c>
      <c r="I12" s="7" t="n"/>
      <c r="J12" s="2">
        <f>IF(I12="",H12,I12)</f>
        <v/>
      </c>
      <c r="K12" t="inlineStr">
        <is>
          <t>ASSUMPTION</t>
        </is>
      </c>
      <c r="L12" t="inlineStr">
        <is>
          <t>A-CST-30</t>
        </is>
      </c>
      <c r="M12" t="inlineStr">
        <is>
          <t>Above EUR 200k</t>
        </is>
      </c>
      <c r="N12" t="inlineStr">
        <is>
          <t>fixed</t>
        </is>
      </c>
    </row>
    <row r="13">
      <c r="A13" t="inlineStr">
        <is>
          <t>mia_net_value_pct_eligible_capex</t>
        </is>
      </c>
      <c r="B13" t="inlineStr">
        <is>
          <t>%</t>
        </is>
      </c>
      <c r="C13" s="3" t="n">
        <v>7</v>
      </c>
      <c r="D13" s="3" t="n">
        <v>9.300000000000001</v>
      </c>
      <c r="E13" s="3" t="n">
        <v>11.6</v>
      </c>
      <c r="F13" s="3" t="n">
        <v>1</v>
      </c>
      <c r="G13" s="3" t="n">
        <v>3</v>
      </c>
      <c r="H13">
        <f>INDEX(C13:E13,1,CHOOSE(scenario,F13,2,G13))</f>
        <v/>
      </c>
      <c r="I13" s="7" t="n"/>
      <c r="J13" s="2">
        <f>IF(I13="",H13,I13)</f>
        <v/>
      </c>
      <c r="K13" t="inlineStr">
        <is>
          <t>ESTIMATE</t>
        </is>
      </c>
      <c r="L13" t="inlineStr">
        <is>
          <t>A-POL-21</t>
        </is>
      </c>
      <c r="M13" t="inlineStr">
        <is>
          <t>Only if taxable profit</t>
        </is>
      </c>
      <c r="N13" t="inlineStr">
        <is>
          <t>rev</t>
        </is>
      </c>
    </row>
    <row r="14">
      <c r="A14" t="inlineStr">
        <is>
          <t>mia_eligible_share_of_capex</t>
        </is>
      </c>
      <c r="B14" t="inlineStr">
        <is>
          <t>%</t>
        </is>
      </c>
      <c r="C14" s="3" t="n">
        <v>0</v>
      </c>
      <c r="D14" s="3" t="n">
        <v>20</v>
      </c>
      <c r="E14" s="3" t="n">
        <v>50</v>
      </c>
      <c r="F14" s="3" t="n">
        <v>1</v>
      </c>
      <c r="G14" s="3" t="n">
        <v>3</v>
      </c>
      <c r="H14">
        <f>INDEX(C14:E14,1,CHOOSE(scenario,F14,2,G14))</f>
        <v/>
      </c>
      <c r="I14" s="7" t="n"/>
      <c r="J14" s="2">
        <f>IF(I14="",H14,I14)</f>
        <v/>
      </c>
      <c r="K14" t="inlineStr">
        <is>
          <t>ASSUMPTION</t>
        </is>
      </c>
      <c r="L14" t="inlineStr">
        <is>
          <t>A-POL-22</t>
        </is>
      </c>
      <c r="M14" t="inlineStr"/>
      <c r="N14" t="inlineStr">
        <is>
          <t>rev</t>
        </is>
      </c>
    </row>
    <row r="15">
      <c r="A15" t="inlineStr">
        <is>
          <t>grant_dei_veki_first_plant</t>
        </is>
      </c>
      <c r="B15" t="inlineStr">
        <is>
          <t>MEUR</t>
        </is>
      </c>
      <c r="C15" s="3" t="n">
        <v>0</v>
      </c>
      <c r="D15" s="3" t="n">
        <v>0.4</v>
      </c>
      <c r="E15" s="3" t="n">
        <v>1.5</v>
      </c>
      <c r="F15" s="3" t="n">
        <v>1</v>
      </c>
      <c r="G15" s="3" t="n">
        <v>3</v>
      </c>
      <c r="H15">
        <f>INDEX(C15:E15,1,CHOOSE(scenario,F15,2,G15))</f>
        <v/>
      </c>
      <c r="I15" s="7" t="n"/>
      <c r="J15" s="2">
        <f>IF(I15="",H15,I15)</f>
        <v/>
      </c>
      <c r="K15" t="inlineStr">
        <is>
          <t>ASSUMPTION</t>
        </is>
      </c>
      <c r="L15" t="inlineStr">
        <is>
          <t>A-POL-24</t>
        </is>
      </c>
      <c r="M15" t="inlineStr">
        <is>
          <t>Upside; competitive</t>
        </is>
      </c>
      <c r="N15" t="inlineStr">
        <is>
          <t>rev</t>
        </is>
      </c>
    </row>
    <row r="16">
      <c r="A16" t="inlineStr">
        <is>
          <t>plant_capacity_hourly</t>
        </is>
      </c>
      <c r="B16" t="inlineStr">
        <is>
          <t>m3/h</t>
        </is>
      </c>
      <c r="C16" s="3" t="n">
        <v>100</v>
      </c>
      <c r="D16" s="3" t="n">
        <v>120</v>
      </c>
      <c r="E16" s="3" t="n">
        <v>150</v>
      </c>
      <c r="F16" s="3" t="n">
        <v>2</v>
      </c>
      <c r="G16" s="3" t="n">
        <v>2</v>
      </c>
      <c r="H16">
        <f>INDEX(C16:E16,1,CHOOSE(scenario,F16,2,G16))</f>
        <v/>
      </c>
      <c r="I16" s="7" t="n"/>
      <c r="J16" s="2">
        <f>IF(I16="",H16,I16)</f>
        <v/>
      </c>
      <c r="K16" t="inlineStr">
        <is>
          <t>ESTIMATE</t>
        </is>
      </c>
      <c r="L16" t="inlineStr">
        <is>
          <t>A-TEC-23</t>
        </is>
      </c>
      <c r="M16" t="inlineStr">
        <is>
          <t>Twin-shaft 3 m3 mixer</t>
        </is>
      </c>
      <c r="N16" t="inlineStr">
        <is>
          <t>fixed</t>
        </is>
      </c>
    </row>
    <row r="17">
      <c r="A17" t="inlineStr">
        <is>
          <t>plant_capacity_theoretical</t>
        </is>
      </c>
      <c r="B17" t="inlineStr">
        <is>
          <t>m3/yr</t>
        </is>
      </c>
      <c r="C17" s="3" t="n">
        <v>200000</v>
      </c>
      <c r="D17" s="3" t="n">
        <v>240000</v>
      </c>
      <c r="E17" s="3" t="n">
        <v>280000</v>
      </c>
      <c r="F17" s="3" t="n">
        <v>2</v>
      </c>
      <c r="G17" s="3" t="n">
        <v>2</v>
      </c>
      <c r="H17">
        <f>INDEX(C17:E17,1,CHOOSE(scenario,F17,2,G17))</f>
        <v/>
      </c>
      <c r="I17" s="7" t="n"/>
      <c r="J17" s="2">
        <f>IF(I17="",H17,I17)</f>
        <v/>
      </c>
      <c r="K17" t="inlineStr">
        <is>
          <t>ESTIMATE</t>
        </is>
      </c>
      <c r="L17" t="inlineStr">
        <is>
          <t>A-TEC-23</t>
        </is>
      </c>
      <c r="M17" t="inlineStr">
        <is>
          <t>One shift ~2,000 h/yr</t>
        </is>
      </c>
      <c r="N17" t="inlineStr">
        <is>
          <t>fixed</t>
        </is>
      </c>
    </row>
    <row r="18">
      <c r="A18" t="inlineStr">
        <is>
          <t>output_steady_state</t>
        </is>
      </c>
      <c r="B18" t="inlineStr">
        <is>
          <t>m3/yr</t>
        </is>
      </c>
      <c r="C18" s="3" t="n">
        <v>50000</v>
      </c>
      <c r="D18" s="3" t="n">
        <v>70000</v>
      </c>
      <c r="E18" s="3" t="n">
        <v>90000</v>
      </c>
      <c r="F18" s="3" t="n">
        <v>1</v>
      </c>
      <c r="G18" s="3" t="n">
        <v>3</v>
      </c>
      <c r="H18">
        <f>INDEX(C18:E18,1,CHOOSE(scenario,F18,2,G18))</f>
        <v/>
      </c>
      <c r="I18" s="7" t="n"/>
      <c r="J18" s="2">
        <f>IF(I18="",H18,I18)</f>
        <v/>
      </c>
      <c r="K18" t="inlineStr">
        <is>
          <t>ESTIMATE</t>
        </is>
      </c>
      <c r="L18" t="inlineStr">
        <is>
          <t>A-TEC-24;A-MKT-32</t>
        </is>
      </c>
      <c r="M18" t="inlineStr">
        <is>
          <t>Brief base 70k. MKT SOM base is 60k: test 60k. NL avg plant 33.7k m3 (CMP-43)</t>
        </is>
      </c>
      <c r="N18" t="inlineStr">
        <is>
          <t>rev</t>
        </is>
      </c>
    </row>
    <row r="19">
      <c r="A19" t="inlineStr">
        <is>
          <t>ramp_year1_pct_of_steady</t>
        </is>
      </c>
      <c r="B19" t="inlineStr">
        <is>
          <t>%</t>
        </is>
      </c>
      <c r="C19" s="3" t="n">
        <v>35</v>
      </c>
      <c r="D19" s="3" t="n">
        <v>50</v>
      </c>
      <c r="E19" s="3" t="n">
        <v>65</v>
      </c>
      <c r="F19" s="3" t="n">
        <v>1</v>
      </c>
      <c r="G19" s="3" t="n">
        <v>3</v>
      </c>
      <c r="H19">
        <f>INDEX(C19:E19,1,CHOOSE(scenario,F19,2,G19))</f>
        <v/>
      </c>
      <c r="I19" s="7" t="n"/>
      <c r="J19" s="2">
        <f>IF(I19="",H19,I19)</f>
        <v/>
      </c>
      <c r="K19" t="inlineStr">
        <is>
          <t>ASSUMPTION</t>
        </is>
      </c>
      <c r="L19" t="inlineStr">
        <is>
          <t>A-CST-01</t>
        </is>
      </c>
      <c r="M19" t="inlineStr">
        <is>
          <t>First full operating year; base 35k m3 (TEC section 8)</t>
        </is>
      </c>
      <c r="N19" t="inlineStr">
        <is>
          <t>rev</t>
        </is>
      </c>
    </row>
    <row r="20">
      <c r="A20" t="inlineStr">
        <is>
          <t>ramp_year2_pct_of_steady</t>
        </is>
      </c>
      <c r="B20" t="inlineStr">
        <is>
          <t>%</t>
        </is>
      </c>
      <c r="C20" s="3" t="n">
        <v>60</v>
      </c>
      <c r="D20" s="3" t="n">
        <v>79</v>
      </c>
      <c r="E20" s="3" t="n">
        <v>90</v>
      </c>
      <c r="F20" s="3" t="n">
        <v>1</v>
      </c>
      <c r="G20" s="3" t="n">
        <v>3</v>
      </c>
      <c r="H20">
        <f>INDEX(C20:E20,1,CHOOSE(scenario,F20,2,G20))</f>
        <v/>
      </c>
      <c r="I20" s="7" t="n"/>
      <c r="J20" s="2">
        <f>IF(I20="",H20,I20)</f>
        <v/>
      </c>
      <c r="K20" t="inlineStr">
        <is>
          <t>ASSUMPTION</t>
        </is>
      </c>
      <c r="L20" t="inlineStr">
        <is>
          <t>A-CST-01</t>
        </is>
      </c>
      <c r="M20" t="inlineStr">
        <is>
          <t>base 55k m3</t>
        </is>
      </c>
      <c r="N20" t="inlineStr">
        <is>
          <t>rev</t>
        </is>
      </c>
    </row>
    <row r="21">
      <c r="A21" t="inlineStr">
        <is>
          <t>ramp_year3plus_pct_of_steady</t>
        </is>
      </c>
      <c r="B21" t="inlineStr">
        <is>
          <t>%</t>
        </is>
      </c>
      <c r="C21" s="3" t="n">
        <v>85</v>
      </c>
      <c r="D21" s="3" t="n">
        <v>100</v>
      </c>
      <c r="E21" s="3" t="n">
        <v>100</v>
      </c>
      <c r="F21" s="3" t="n">
        <v>1</v>
      </c>
      <c r="G21" s="3" t="n">
        <v>3</v>
      </c>
      <c r="H21">
        <f>INDEX(C21:E21,1,CHOOSE(scenario,F21,2,G21))</f>
        <v/>
      </c>
      <c r="I21" s="7" t="n"/>
      <c r="J21" s="2">
        <f>IF(I21="",H21,I21)</f>
        <v/>
      </c>
      <c r="K21" t="inlineStr">
        <is>
          <t>ASSUMPTION</t>
        </is>
      </c>
      <c r="L21" t="inlineStr">
        <is>
          <t>A-CST-01</t>
        </is>
      </c>
      <c r="M21" t="inlineStr">
        <is>
          <t>base 70k m3 from year 3</t>
        </is>
      </c>
      <c r="N21" t="inlineStr">
        <is>
          <t>rev</t>
        </is>
      </c>
    </row>
    <row r="22">
      <c r="A22" t="inlineStr">
        <is>
          <t>circular_share_of_volume</t>
        </is>
      </c>
      <c r="B22" t="inlineStr">
        <is>
          <t>%</t>
        </is>
      </c>
      <c r="C22" s="3" t="n">
        <v>40</v>
      </c>
      <c r="D22" s="3" t="n">
        <v>60</v>
      </c>
      <c r="E22" s="3" t="n">
        <v>80</v>
      </c>
      <c r="F22" s="3" t="n">
        <v>1</v>
      </c>
      <c r="G22" s="3" t="n">
        <v>3</v>
      </c>
      <c r="H22">
        <f>INDEX(C22:E22,1,CHOOSE(scenario,F22,2,G22))</f>
        <v/>
      </c>
      <c r="I22" s="7" t="n"/>
      <c r="J22" s="2">
        <f>IF(I22="",H22,I22)</f>
        <v/>
      </c>
      <c r="K22" t="inlineStr">
        <is>
          <t>ASSUMPTION</t>
        </is>
      </c>
      <c r="L22" t="inlineStr">
        <is>
          <t>A-TEC-44</t>
        </is>
      </c>
      <c r="M22" t="inlineStr">
        <is>
          <t>Rest = standard CEM III/B mixes</t>
        </is>
      </c>
      <c r="N22" t="inlineStr">
        <is>
          <t>rev</t>
        </is>
      </c>
    </row>
    <row r="23">
      <c r="A23" t="inlineStr">
        <is>
          <t>public_share_of_sales</t>
        </is>
      </c>
      <c r="B23" t="inlineStr">
        <is>
          <t>%</t>
        </is>
      </c>
      <c r="C23" s="3" t="n">
        <v>30</v>
      </c>
      <c r="D23" s="3" t="n">
        <v>40</v>
      </c>
      <c r="E23" s="3" t="n">
        <v>50</v>
      </c>
      <c r="F23" s="3" t="n">
        <v>1</v>
      </c>
      <c r="G23" s="3" t="n">
        <v>3</v>
      </c>
      <c r="H23">
        <f>INDEX(C23:E23,1,CHOOSE(scenario,F23,2,G23))</f>
        <v/>
      </c>
      <c r="I23" s="7" t="n"/>
      <c r="J23" s="2">
        <f>IF(I23="",H23,I23)</f>
        <v/>
      </c>
      <c r="K23" t="inlineStr">
        <is>
          <t>ESTIMATE</t>
        </is>
      </c>
      <c r="L23" t="inlineStr">
        <is>
          <t>A-MKT-24</t>
        </is>
      </c>
      <c r="M23" t="inlineStr">
        <is>
          <t>Public + housing corporations</t>
        </is>
      </c>
      <c r="N23" t="inlineStr">
        <is>
          <t>rev</t>
        </is>
      </c>
    </row>
    <row r="24">
      <c r="A24" t="inlineStr">
        <is>
          <t>operating_days</t>
        </is>
      </c>
      <c r="B24" t="inlineStr">
        <is>
          <t>d/yr</t>
        </is>
      </c>
      <c r="C24" s="3" t="n">
        <v>220</v>
      </c>
      <c r="D24" s="3" t="n">
        <v>235</v>
      </c>
      <c r="E24" s="3" t="n">
        <v>250</v>
      </c>
      <c r="F24" s="3" t="n">
        <v>2</v>
      </c>
      <c r="G24" s="3" t="n">
        <v>2</v>
      </c>
      <c r="H24">
        <f>INDEX(C24:E24,1,CHOOSE(scenario,F24,2,G24))</f>
        <v/>
      </c>
      <c r="I24" s="7" t="n"/>
      <c r="J24" s="2">
        <f>IF(I24="",H24,I24)</f>
        <v/>
      </c>
      <c r="K24" t="inlineStr">
        <is>
          <t>ASSUMPTION</t>
        </is>
      </c>
      <c r="L24" t="inlineStr">
        <is>
          <t>A-TEC-30</t>
        </is>
      </c>
      <c r="M24" t="inlineStr"/>
      <c r="N24" t="inlineStr">
        <is>
          <t>fixed</t>
        </is>
      </c>
    </row>
    <row r="25">
      <c r="A25" t="inlineStr">
        <is>
          <t>capex_plant_equipment</t>
        </is>
      </c>
      <c r="B25" t="inlineStr">
        <is>
          <t>MEUR</t>
        </is>
      </c>
      <c r="C25" s="3" t="n">
        <v>3</v>
      </c>
      <c r="D25" s="3" t="n">
        <v>4</v>
      </c>
      <c r="E25" s="3" t="n">
        <v>5.5</v>
      </c>
      <c r="F25" s="3" t="n">
        <v>3</v>
      </c>
      <c r="G25" s="3" t="n">
        <v>1</v>
      </c>
      <c r="H25">
        <f>INDEX(C25:E25,1,CHOOSE(scenario,F25,2,G25))</f>
        <v/>
      </c>
      <c r="I25" s="7" t="n"/>
      <c r="J25" s="2">
        <f>IF(I25="",H25,I25)</f>
        <v/>
      </c>
      <c r="K25" t="inlineStr">
        <is>
          <t>ASSUMPTION</t>
        </is>
      </c>
      <c r="L25" t="inlineStr">
        <is>
          <t>A-TEC-21;A-CST-02</t>
        </is>
      </c>
      <c r="M25" t="inlineStr">
        <is>
          <t>Batching plant, mixer, 6-8 bins (3 RCA), 4-5 silos, covered RCA store, sprinklers, moisture probes, lab, wash-water recycling</t>
        </is>
      </c>
      <c r="N25" t="inlineStr">
        <is>
          <t>cost</t>
        </is>
      </c>
    </row>
    <row r="26">
      <c r="A26" t="inlineStr">
        <is>
          <t>capex_site_prep_civil</t>
        </is>
      </c>
      <c r="B26" t="inlineStr">
        <is>
          <t>MEUR</t>
        </is>
      </c>
      <c r="C26" s="3" t="n">
        <v>0.6</v>
      </c>
      <c r="D26" s="3" t="n">
        <v>1</v>
      </c>
      <c r="E26" s="3" t="n">
        <v>1.8</v>
      </c>
      <c r="F26" s="3" t="n">
        <v>3</v>
      </c>
      <c r="G26" s="3" t="n">
        <v>1</v>
      </c>
      <c r="H26">
        <f>INDEX(C26:E26,1,CHOOSE(scenario,F26,2,G26))</f>
        <v/>
      </c>
      <c r="I26" s="7" t="n"/>
      <c r="J26" s="2">
        <f>IF(I26="",H26,I26)</f>
        <v/>
      </c>
      <c r="K26" t="inlineStr">
        <is>
          <t>ASSUMPTION</t>
        </is>
      </c>
      <c r="L26" t="inlineStr">
        <is>
          <t>A-TEC-21;A-CST-02</t>
        </is>
      </c>
      <c r="M26" t="inlineStr">
        <is>
          <t>Paving, foundations, drainage, grid connection, quay works. Sum with equipment+permits = 4.0/5.5/8.0 (brief)</t>
        </is>
      </c>
      <c r="N26" t="inlineStr">
        <is>
          <t>cost</t>
        </is>
      </c>
    </row>
    <row r="27">
      <c r="A27" t="inlineStr">
        <is>
          <t>capex_permits_engineering</t>
        </is>
      </c>
      <c r="B27" t="inlineStr">
        <is>
          <t>MEUR</t>
        </is>
      </c>
      <c r="C27" s="3" t="n">
        <v>0.4</v>
      </c>
      <c r="D27" s="3" t="n">
        <v>0.5</v>
      </c>
      <c r="E27" s="3" t="n">
        <v>0.7</v>
      </c>
      <c r="F27" s="3" t="n">
        <v>3</v>
      </c>
      <c r="G27" s="3" t="n">
        <v>1</v>
      </c>
      <c r="H27">
        <f>INDEX(C27:E27,1,CHOOSE(scenario,F27,2,G27))</f>
        <v/>
      </c>
      <c r="I27" s="7" t="n"/>
      <c r="J27" s="2">
        <f>IF(I27="",H27,I27)</f>
        <v/>
      </c>
      <c r="K27" t="inlineStr">
        <is>
          <t>ASSUMPTION</t>
        </is>
      </c>
      <c r="L27" t="inlineStr">
        <is>
          <t>A-CST-02</t>
        </is>
      </c>
      <c r="M27" t="inlineStr">
        <is>
          <t>Permits, AERIUS/noise studies, engineering, start-up. Amortise 10 yr</t>
        </is>
      </c>
      <c r="N27" t="inlineStr">
        <is>
          <t>cost</t>
        </is>
      </c>
    </row>
    <row r="28">
      <c r="A28" t="inlineStr">
        <is>
          <t>capex_lca_epd_one_off</t>
        </is>
      </c>
      <c r="B28" t="inlineStr">
        <is>
          <t>EUR</t>
        </is>
      </c>
      <c r="C28" s="3" t="n">
        <v>40000</v>
      </c>
      <c r="D28" s="3" t="n">
        <v>80000</v>
      </c>
      <c r="E28" s="3" t="n">
        <v>160000</v>
      </c>
      <c r="F28" s="3" t="n">
        <v>3</v>
      </c>
      <c r="G28" s="3" t="n">
        <v>1</v>
      </c>
      <c r="H28">
        <f>INDEX(C28:E28,1,CHOOSE(scenario,F28,2,G28))</f>
        <v/>
      </c>
      <c r="I28" s="7" t="n"/>
      <c r="J28" s="2">
        <f>IF(I28="",H28,I28)</f>
        <v/>
      </c>
      <c r="K28" t="inlineStr">
        <is>
          <t>ASSUMPTION</t>
        </is>
      </c>
      <c r="L28" t="inlineStr">
        <is>
          <t>A-TEC-47;A-CST-03</t>
        </is>
      </c>
      <c r="M28" t="inlineStr">
        <is>
          <t>4 product families x EUR 20k (10-40k)</t>
        </is>
      </c>
      <c r="N28" t="inlineStr">
        <is>
          <t>cost</t>
        </is>
      </c>
    </row>
    <row r="29">
      <c r="A29" t="inlineStr">
        <is>
          <t>capex_preopening_costs</t>
        </is>
      </c>
      <c r="B29" t="inlineStr">
        <is>
          <t>EUR</t>
        </is>
      </c>
      <c r="C29" s="3" t="n">
        <v>200000</v>
      </c>
      <c r="D29" s="3" t="n">
        <v>300000</v>
      </c>
      <c r="E29" s="3" t="n">
        <v>500000</v>
      </c>
      <c r="F29" s="3" t="n">
        <v>3</v>
      </c>
      <c r="G29" s="3" t="n">
        <v>1</v>
      </c>
      <c r="H29">
        <f>INDEX(C29:E29,1,CHOOSE(scenario,F29,2,G29))</f>
        <v/>
      </c>
      <c r="I29" s="7" t="n"/>
      <c r="J29" s="2">
        <f>IF(I29="",H29,I29)</f>
        <v/>
      </c>
      <c r="K29" t="inlineStr">
        <is>
          <t>ASSUMPTION</t>
        </is>
      </c>
      <c r="L29" t="inlineStr">
        <is>
          <t>A-CST-04</t>
        </is>
      </c>
      <c r="M29" t="inlineStr">
        <is>
          <t>Hiring before opening, trial mixes, initial type testing for KOMO</t>
        </is>
      </c>
      <c r="N29" t="inlineStr">
        <is>
          <t>cost</t>
        </is>
      </c>
    </row>
    <row r="30">
      <c r="A30" t="inlineStr">
        <is>
          <t>capex_truck_mixers_option</t>
        </is>
      </c>
      <c r="B30" t="inlineStr">
        <is>
          <t>MEUR</t>
        </is>
      </c>
      <c r="C30" s="3" t="n">
        <v>1</v>
      </c>
      <c r="D30" s="3" t="n">
        <v>1.08</v>
      </c>
      <c r="E30" s="3" t="n">
        <v>1.2</v>
      </c>
      <c r="F30" s="3" t="n">
        <v>2</v>
      </c>
      <c r="G30" s="3" t="n">
        <v>2</v>
      </c>
      <c r="H30">
        <f>INDEX(C30:E30,1,CHOOSE(scenario,F30,2,G30))</f>
        <v/>
      </c>
      <c r="I30" s="7" t="n"/>
      <c r="J30" s="2">
        <f>IF(I30="",H30,I30)</f>
        <v/>
      </c>
      <c r="K30" t="inlineStr">
        <is>
          <t>ESTIMATE</t>
        </is>
      </c>
      <c r="L30" t="inlineStr">
        <is>
          <t>A-TEC-31</t>
        </is>
      </c>
      <c r="M30" t="inlineStr">
        <is>
          <t>Only if trucks bought (8 x EUR 135k); base = subcontracted</t>
        </is>
      </c>
      <c r="N30" t="inlineStr">
        <is>
          <t>fixed</t>
        </is>
      </c>
    </row>
    <row r="31">
      <c r="A31" t="inlineStr">
        <is>
          <t>land_purchase</t>
        </is>
      </c>
      <c r="B31" t="inlineStr">
        <is>
          <t>MEUR</t>
        </is>
      </c>
      <c r="C31" s="3" t="n">
        <v>0</v>
      </c>
      <c r="D31" s="3" t="n">
        <v>0</v>
      </c>
      <c r="E31" s="3" t="n">
        <v>0</v>
      </c>
      <c r="F31" s="3" t="n">
        <v>2</v>
      </c>
      <c r="G31" s="3" t="n">
        <v>2</v>
      </c>
      <c r="H31">
        <f>INDEX(C31:E31,1,CHOOSE(scenario,F31,2,G31))</f>
        <v/>
      </c>
      <c r="I31" s="7" t="n"/>
      <c r="J31" s="2">
        <f>IF(I31="",H31,I31)</f>
        <v/>
      </c>
      <c r="K31" t="inlineStr">
        <is>
          <t>ASSUMPTION</t>
        </is>
      </c>
      <c r="L31" t="inlineStr">
        <is>
          <t>A-CST-05</t>
        </is>
      </c>
      <c r="M31" t="inlineStr">
        <is>
          <t>Land leased in base case</t>
        </is>
      </c>
      <c r="N31" t="inlineStr">
        <is>
          <t>fixed</t>
        </is>
      </c>
    </row>
    <row r="32">
      <c r="A32" t="inlineStr">
        <is>
          <t>lifetime_plant_equipment</t>
        </is>
      </c>
      <c r="B32" t="inlineStr">
        <is>
          <t>yr</t>
        </is>
      </c>
      <c r="C32" s="3" t="n">
        <v>20</v>
      </c>
      <c r="D32" s="3" t="n">
        <v>25</v>
      </c>
      <c r="E32" s="3" t="n">
        <v>30</v>
      </c>
      <c r="F32" s="3" t="n">
        <v>2</v>
      </c>
      <c r="G32" s="3" t="n">
        <v>2</v>
      </c>
      <c r="H32">
        <f>INDEX(C32:E32,1,CHOOSE(scenario,F32,2,G32))</f>
        <v/>
      </c>
      <c r="I32" s="7" t="n"/>
      <c r="J32" s="2">
        <f>IF(I32="",H32,I32)</f>
        <v/>
      </c>
      <c r="K32" t="inlineStr">
        <is>
          <t>ASSUMPTION</t>
        </is>
      </c>
      <c r="L32" t="inlineStr">
        <is>
          <t>A-TEC-39</t>
        </is>
      </c>
      <c r="M32" t="inlineStr"/>
      <c r="N32" t="inlineStr">
        <is>
          <t>fixed</t>
        </is>
      </c>
    </row>
    <row r="33">
      <c r="A33" t="inlineStr">
        <is>
          <t>lifetime_civil_works</t>
        </is>
      </c>
      <c r="B33" t="inlineStr">
        <is>
          <t>yr</t>
        </is>
      </c>
      <c r="C33" s="3" t="n">
        <v>20</v>
      </c>
      <c r="D33" s="3" t="n">
        <v>25</v>
      </c>
      <c r="E33" s="3" t="n">
        <v>30</v>
      </c>
      <c r="F33" s="3" t="n">
        <v>2</v>
      </c>
      <c r="G33" s="3" t="n">
        <v>2</v>
      </c>
      <c r="H33">
        <f>INDEX(C33:E33,1,CHOOSE(scenario,F33,2,G33))</f>
        <v/>
      </c>
      <c r="I33" s="7" t="n"/>
      <c r="J33" s="2">
        <f>IF(I33="",H33,I33)</f>
        <v/>
      </c>
      <c r="K33" t="inlineStr">
        <is>
          <t>ASSUMPTION</t>
        </is>
      </c>
      <c r="L33" t="inlineStr">
        <is>
          <t>A-TEC-39</t>
        </is>
      </c>
      <c r="M33" t="inlineStr"/>
      <c r="N33" t="inlineStr">
        <is>
          <t>fixed</t>
        </is>
      </c>
    </row>
    <row r="34">
      <c r="A34" t="inlineStr">
        <is>
          <t>lifetime_permits_engineering</t>
        </is>
      </c>
      <c r="B34" t="inlineStr">
        <is>
          <t>yr</t>
        </is>
      </c>
      <c r="C34" s="3" t="n">
        <v>10</v>
      </c>
      <c r="D34" s="3" t="n">
        <v>10</v>
      </c>
      <c r="E34" s="3" t="n">
        <v>10</v>
      </c>
      <c r="F34" s="3" t="n">
        <v>2</v>
      </c>
      <c r="G34" s="3" t="n">
        <v>2</v>
      </c>
      <c r="H34">
        <f>INDEX(C34:E34,1,CHOOSE(scenario,F34,2,G34))</f>
        <v/>
      </c>
      <c r="I34" s="7" t="n"/>
      <c r="J34" s="2">
        <f>IF(I34="",H34,I34)</f>
        <v/>
      </c>
      <c r="K34" t="inlineStr">
        <is>
          <t>ASSUMPTION</t>
        </is>
      </c>
      <c r="L34" t="inlineStr">
        <is>
          <t>A-CST-02</t>
        </is>
      </c>
      <c r="M34" t="inlineStr"/>
      <c r="N34" t="inlineStr">
        <is>
          <t>fixed</t>
        </is>
      </c>
    </row>
    <row r="35">
      <c r="A35" t="inlineStr">
        <is>
          <t>salvage_value_yr10_pct_of_plant_civil_capex</t>
        </is>
      </c>
      <c r="B35" t="inlineStr">
        <is>
          <t>%</t>
        </is>
      </c>
      <c r="C35" s="3" t="n">
        <v>10</v>
      </c>
      <c r="D35" s="3" t="n">
        <v>25</v>
      </c>
      <c r="E35" s="3" t="n">
        <v>40</v>
      </c>
      <c r="F35" s="3" t="n">
        <v>1</v>
      </c>
      <c r="G35" s="3" t="n">
        <v>3</v>
      </c>
      <c r="H35">
        <f>INDEX(C35:E35,1,CHOOSE(scenario,F35,2,G35))</f>
        <v/>
      </c>
      <c r="I35" s="7" t="n"/>
      <c r="J35" s="2">
        <f>IF(I35="",H35,I35)</f>
        <v/>
      </c>
      <c r="K35" t="inlineStr">
        <is>
          <t>ASSUMPTION</t>
        </is>
      </c>
      <c r="L35" t="inlineStr">
        <is>
          <t>A-CST-06</t>
        </is>
      </c>
      <c r="M35" t="inlineStr">
        <is>
          <t>Terminal value = salvage only (plan 2.1). Used batching plants sell well below book value</t>
        </is>
      </c>
      <c r="N35" t="inlineStr">
        <is>
          <t>rev</t>
        </is>
      </c>
    </row>
    <row r="36">
      <c r="A36" t="inlineStr">
        <is>
          <t>working_capital_receivable_days</t>
        </is>
      </c>
      <c r="B36" t="inlineStr">
        <is>
          <t>d</t>
        </is>
      </c>
      <c r="C36" s="3" t="n">
        <v>45</v>
      </c>
      <c r="D36" s="3" t="n">
        <v>60</v>
      </c>
      <c r="E36" s="3" t="n">
        <v>75</v>
      </c>
      <c r="F36" s="3" t="n">
        <v>3</v>
      </c>
      <c r="G36" s="3" t="n">
        <v>1</v>
      </c>
      <c r="H36">
        <f>INDEX(C36:E36,1,CHOOSE(scenario,F36,2,G36))</f>
        <v/>
      </c>
      <c r="I36" s="7" t="n"/>
      <c r="J36" s="2">
        <f>IF(I36="",H36,I36)</f>
        <v/>
      </c>
      <c r="K36" t="inlineStr">
        <is>
          <t>ASSUMPTION</t>
        </is>
      </c>
      <c r="L36" t="inlineStr">
        <is>
          <t>A-CST-07</t>
        </is>
      </c>
      <c r="M36" t="inlineStr">
        <is>
          <t>Dutch construction payment practice; contractors pay slowly</t>
        </is>
      </c>
      <c r="N36" t="inlineStr">
        <is>
          <t>cost</t>
        </is>
      </c>
    </row>
    <row r="37">
      <c r="A37" t="inlineStr">
        <is>
          <t>working_capital_payable_days</t>
        </is>
      </c>
      <c r="B37" t="inlineStr">
        <is>
          <t>d</t>
        </is>
      </c>
      <c r="C37" s="3" t="n">
        <v>21</v>
      </c>
      <c r="D37" s="3" t="n">
        <v>30</v>
      </c>
      <c r="E37" s="3" t="n">
        <v>45</v>
      </c>
      <c r="F37" s="3" t="n">
        <v>1</v>
      </c>
      <c r="G37" s="3" t="n">
        <v>3</v>
      </c>
      <c r="H37">
        <f>INDEX(C37:E37,1,CHOOSE(scenario,F37,2,G37))</f>
        <v/>
      </c>
      <c r="I37" s="7" t="n"/>
      <c r="J37" s="2">
        <f>IF(I37="",H37,I37)</f>
        <v/>
      </c>
      <c r="K37" t="inlineStr">
        <is>
          <t>ASSUMPTION</t>
        </is>
      </c>
      <c r="L37" t="inlineStr">
        <is>
          <t>A-CST-07</t>
        </is>
      </c>
      <c r="M37" t="inlineStr">
        <is>
          <t>Cement and aggregate suppliers</t>
        </is>
      </c>
      <c r="N37" t="inlineStr">
        <is>
          <t>rev</t>
        </is>
      </c>
    </row>
    <row r="38">
      <c r="A38" t="inlineStr">
        <is>
          <t>working_capital_inventory_days</t>
        </is>
      </c>
      <c r="B38" t="inlineStr">
        <is>
          <t>d</t>
        </is>
      </c>
      <c r="C38" s="3" t="n">
        <v>7</v>
      </c>
      <c r="D38" s="3" t="n">
        <v>10</v>
      </c>
      <c r="E38" s="3" t="n">
        <v>15</v>
      </c>
      <c r="F38" s="3" t="n">
        <v>3</v>
      </c>
      <c r="G38" s="3" t="n">
        <v>1</v>
      </c>
      <c r="H38">
        <f>INDEX(C38:E38,1,CHOOSE(scenario,F38,2,G38))</f>
        <v/>
      </c>
      <c r="I38" s="7" t="n"/>
      <c r="J38" s="2">
        <f>IF(I38="",H38,I38)</f>
        <v/>
      </c>
      <c r="K38" t="inlineStr">
        <is>
          <t>ASSUMPTION</t>
        </is>
      </c>
      <c r="L38" t="inlineStr">
        <is>
          <t>A-CST-07</t>
        </is>
      </c>
      <c r="M38" t="inlineStr">
        <is>
          <t>Of raw material cost</t>
        </is>
      </c>
      <c r="N38" t="inlineStr">
        <is>
          <t>cost</t>
        </is>
      </c>
    </row>
    <row r="39">
      <c r="A39" t="inlineStr">
        <is>
          <t>sustaining_capex_pct_of_capex</t>
        </is>
      </c>
      <c r="B39" t="inlineStr">
        <is>
          <t>%/yr</t>
        </is>
      </c>
      <c r="C39" s="3" t="n">
        <v>0.5</v>
      </c>
      <c r="D39" s="3" t="n">
        <v>1</v>
      </c>
      <c r="E39" s="3" t="n">
        <v>2</v>
      </c>
      <c r="F39" s="3" t="n">
        <v>3</v>
      </c>
      <c r="G39" s="3" t="n">
        <v>1</v>
      </c>
      <c r="H39">
        <f>INDEX(C39:E39,1,CHOOSE(scenario,F39,2,G39))</f>
        <v/>
      </c>
      <c r="I39" s="7" t="n"/>
      <c r="J39" s="2">
        <f>IF(I39="",H39,I39)</f>
        <v/>
      </c>
      <c r="K39" t="inlineStr">
        <is>
          <t>ASSUMPTION</t>
        </is>
      </c>
      <c r="L39" t="inlineStr">
        <is>
          <t>A-CST-08</t>
        </is>
      </c>
      <c r="M39" t="inlineStr">
        <is>
          <t>On top of maintenance opex; mixer liners and wear parts are in maintenance</t>
        </is>
      </c>
      <c r="N39" t="inlineStr">
        <is>
          <t>cost</t>
        </is>
      </c>
    </row>
    <row r="40">
      <c r="A40" t="inlineStr">
        <is>
          <t>mix_circ_binder</t>
        </is>
      </c>
      <c r="B40" t="inlineStr">
        <is>
          <t>kg/m3</t>
        </is>
      </c>
      <c r="C40" s="3" t="n">
        <v>330</v>
      </c>
      <c r="D40" s="3" t="n">
        <v>345</v>
      </c>
      <c r="E40" s="3" t="n">
        <v>360</v>
      </c>
      <c r="F40" s="3" t="n">
        <v>2</v>
      </c>
      <c r="G40" s="3" t="n">
        <v>2</v>
      </c>
      <c r="H40">
        <f>INDEX(C40:E40,1,CHOOSE(scenario,F40,2,G40))</f>
        <v/>
      </c>
      <c r="I40" s="7" t="n"/>
      <c r="J40" s="2">
        <f>IF(I40="",H40,I40)</f>
        <v/>
      </c>
      <c r="K40" t="inlineStr">
        <is>
          <t>ESTIMATE</t>
        </is>
      </c>
      <c r="L40" t="inlineStr">
        <is>
          <t>TEC-04;A-TEC-11;A-TEC-12;A-CST-09</t>
        </is>
      </c>
      <c r="M40" t="inlineStr">
        <is>
          <t>CEM III/B</t>
        </is>
      </c>
      <c r="N40" t="inlineStr">
        <is>
          <t>fixed</t>
        </is>
      </c>
    </row>
    <row r="41">
      <c r="A41" t="inlineStr">
        <is>
          <t>mix_circ_gravel</t>
        </is>
      </c>
      <c r="B41" t="inlineStr">
        <is>
          <t>kg/m3</t>
        </is>
      </c>
      <c r="C41" s="3" t="n">
        <v>870</v>
      </c>
      <c r="D41" s="3" t="n">
        <v>620</v>
      </c>
      <c r="E41" s="3" t="n">
        <v>620</v>
      </c>
      <c r="F41" s="3" t="n">
        <v>2</v>
      </c>
      <c r="G41" s="3" t="n">
        <v>2</v>
      </c>
      <c r="H41">
        <f>INDEX(C41:E41,1,CHOOSE(scenario,F41,2,G41))</f>
        <v/>
      </c>
      <c r="I41" s="7" t="n"/>
      <c r="J41" s="2">
        <f>IF(I41="",H41,I41)</f>
        <v/>
      </c>
      <c r="K41" t="inlineStr">
        <is>
          <t>ESTIMATE</t>
        </is>
      </c>
      <c r="L41" t="inlineStr">
        <is>
          <t>TEC-04;A-TEC-11;A-TEC-12;A-CST-09</t>
        </is>
      </c>
      <c r="M41" t="inlineStr">
        <is>
          <t>Circular low = 30% RCA (V/V); base/high = 50% (CUR 112)</t>
        </is>
      </c>
      <c r="N41" t="inlineStr">
        <is>
          <t>fixed</t>
        </is>
      </c>
    </row>
    <row r="42">
      <c r="A42" t="inlineStr">
        <is>
          <t>mix_circ_rca_coarse</t>
        </is>
      </c>
      <c r="B42" t="inlineStr">
        <is>
          <t>kg/m3</t>
        </is>
      </c>
      <c r="C42" s="3" t="n">
        <v>330</v>
      </c>
      <c r="D42" s="3" t="n">
        <v>560</v>
      </c>
      <c r="E42" s="3" t="n">
        <v>560</v>
      </c>
      <c r="F42" s="3" t="n">
        <v>2</v>
      </c>
      <c r="G42" s="3" t="n">
        <v>2</v>
      </c>
      <c r="H42">
        <f>INDEX(C42:E42,1,CHOOSE(scenario,F42,2,G42))</f>
        <v/>
      </c>
      <c r="I42" s="7" t="n"/>
      <c r="J42" s="2">
        <f>IF(I42="",H42,I42)</f>
        <v/>
      </c>
      <c r="K42" t="inlineStr">
        <is>
          <t>ESTIMATE</t>
        </is>
      </c>
      <c r="L42" t="inlineStr">
        <is>
          <t>TEC-04;A-TEC-11;A-TEC-12;A-CST-09</t>
        </is>
      </c>
      <c r="M42" t="inlineStr">
        <is>
          <t>Type A1 betongranulaat 4/16-4/22, SSD density ~2,450</t>
        </is>
      </c>
      <c r="N42" t="inlineStr">
        <is>
          <t>fixed</t>
        </is>
      </c>
    </row>
    <row r="43">
      <c r="A43" t="inlineStr">
        <is>
          <t>mix_circ_sand</t>
        </is>
      </c>
      <c r="B43" t="inlineStr">
        <is>
          <t>kg/m3</t>
        </is>
      </c>
      <c r="C43" s="3" t="n">
        <v>630</v>
      </c>
      <c r="D43" s="3" t="n">
        <v>630</v>
      </c>
      <c r="E43" s="3" t="n">
        <v>480</v>
      </c>
      <c r="F43" s="3" t="n">
        <v>2</v>
      </c>
      <c r="G43" s="3" t="n">
        <v>2</v>
      </c>
      <c r="H43">
        <f>INDEX(C43:E43,1,CHOOSE(scenario,F43,2,G43))</f>
        <v/>
      </c>
      <c r="I43" s="7" t="n"/>
      <c r="J43" s="2">
        <f>IF(I43="",H43,I43)</f>
        <v/>
      </c>
      <c r="K43" t="inlineStr">
        <is>
          <t>ESTIMATE</t>
        </is>
      </c>
      <c r="L43" t="inlineStr">
        <is>
          <t>TEC-04;A-TEC-11;A-TEC-12;A-CST-09</t>
        </is>
      </c>
      <c r="M43" t="inlineStr">
        <is>
          <t>High-circular variant: 480 sand + 150 recycled sand</t>
        </is>
      </c>
      <c r="N43" t="inlineStr">
        <is>
          <t>fixed</t>
        </is>
      </c>
    </row>
    <row r="44">
      <c r="A44" t="inlineStr">
        <is>
          <t>mix_circ_rca_fine</t>
        </is>
      </c>
      <c r="B44" t="inlineStr">
        <is>
          <t>kg/m3</t>
        </is>
      </c>
      <c r="C44" s="3" t="n">
        <v>0</v>
      </c>
      <c r="D44" s="3" t="n">
        <v>0</v>
      </c>
      <c r="E44" s="3" t="n">
        <v>150</v>
      </c>
      <c r="F44" s="3" t="n">
        <v>2</v>
      </c>
      <c r="G44" s="3" t="n">
        <v>2</v>
      </c>
      <c r="H44">
        <f>INDEX(C44:E44,1,CHOOSE(scenario,F44,2,G44))</f>
        <v/>
      </c>
      <c r="I44" s="7" t="n"/>
      <c r="J44" s="2">
        <f>IF(I44="",H44,I44)</f>
        <v/>
      </c>
      <c r="K44" t="inlineStr">
        <is>
          <t>ESTIMATE</t>
        </is>
      </c>
      <c r="L44" t="inlineStr">
        <is>
          <t>TEC-04;A-TEC-11;A-TEC-12;A-CST-09</t>
        </is>
      </c>
      <c r="M44" t="inlineStr">
        <is>
          <t>Recycled 0/4 only in high-circular variant (CROW-CUR 127)</t>
        </is>
      </c>
      <c r="N44" t="inlineStr">
        <is>
          <t>fixed</t>
        </is>
      </c>
    </row>
    <row r="45">
      <c r="A45" t="inlineStr">
        <is>
          <t>mix_circ_water_effective</t>
        </is>
      </c>
      <c r="B45" t="inlineStr">
        <is>
          <t>l/m3</t>
        </is>
      </c>
      <c r="C45" s="3" t="n">
        <v>165</v>
      </c>
      <c r="D45" s="3" t="n">
        <v>165</v>
      </c>
      <c r="E45" s="3" t="n">
        <v>165</v>
      </c>
      <c r="F45" s="3" t="n">
        <v>2</v>
      </c>
      <c r="G45" s="3" t="n">
        <v>2</v>
      </c>
      <c r="H45">
        <f>INDEX(C45:E45,1,CHOOSE(scenario,F45,2,G45))</f>
        <v/>
      </c>
      <c r="I45" s="7" t="n"/>
      <c r="J45" s="2">
        <f>IF(I45="",H45,I45)</f>
        <v/>
      </c>
      <c r="K45" t="inlineStr">
        <is>
          <t>ESTIMATE</t>
        </is>
      </c>
      <c r="L45" t="inlineStr">
        <is>
          <t>TEC-04;A-TEC-11;A-TEC-12;A-CST-09</t>
        </is>
      </c>
      <c r="M45" t="inlineStr"/>
      <c r="N45" t="inlineStr">
        <is>
          <t>fixed</t>
        </is>
      </c>
    </row>
    <row r="46">
      <c r="A46" t="inlineStr">
        <is>
          <t>mix_circ_water_absorption</t>
        </is>
      </c>
      <c r="B46" t="inlineStr">
        <is>
          <t>l/m3</t>
        </is>
      </c>
      <c r="C46" s="3" t="n">
        <v>15</v>
      </c>
      <c r="D46" s="3" t="n">
        <v>28</v>
      </c>
      <c r="E46" s="3" t="n">
        <v>40</v>
      </c>
      <c r="F46" s="3" t="n">
        <v>3</v>
      </c>
      <c r="G46" s="3" t="n">
        <v>1</v>
      </c>
      <c r="H46">
        <f>INDEX(C46:E46,1,CHOOSE(scenario,F46,2,G46))</f>
        <v/>
      </c>
      <c r="I46" s="7" t="n"/>
      <c r="J46" s="2">
        <f>IF(I46="",H46,I46)</f>
        <v/>
      </c>
      <c r="K46" t="inlineStr">
        <is>
          <t>ESTIMATE</t>
        </is>
      </c>
      <c r="L46" t="inlineStr">
        <is>
          <t>A-TEC-12</t>
        </is>
      </c>
      <c r="M46" t="inlineStr">
        <is>
          <t>Pre-wetting/absorption water for RCA, not in w/c</t>
        </is>
      </c>
      <c r="N46" t="inlineStr">
        <is>
          <t>cost</t>
        </is>
      </c>
    </row>
    <row r="47">
      <c r="A47" t="inlineStr">
        <is>
          <t>mix_circ_superplasticiser_pct_binder</t>
        </is>
      </c>
      <c r="B47" t="inlineStr">
        <is>
          <t>%</t>
        </is>
      </c>
      <c r="C47" s="3" t="n">
        <v>0.7</v>
      </c>
      <c r="D47" s="3" t="n">
        <v>0.9</v>
      </c>
      <c r="E47" s="3" t="n">
        <v>1.2</v>
      </c>
      <c r="F47" s="3" t="n">
        <v>3</v>
      </c>
      <c r="G47" s="3" t="n">
        <v>1</v>
      </c>
      <c r="H47">
        <f>INDEX(C47:E47,1,CHOOSE(scenario,F47,2,G47))</f>
        <v/>
      </c>
      <c r="I47" s="7" t="n"/>
      <c r="J47" s="2">
        <f>IF(I47="",H47,I47)</f>
        <v/>
      </c>
      <c r="K47" t="inlineStr">
        <is>
          <t>ASSUMPTION</t>
        </is>
      </c>
      <c r="L47" t="inlineStr">
        <is>
          <t>CST-12;A-TEC-13;A-CST-10</t>
        </is>
      </c>
      <c r="M47" t="inlineStr">
        <is>
          <t>Liquid PCE; circular = reference +0.2 pt (0-0.5)</t>
        </is>
      </c>
      <c r="N47" t="inlineStr">
        <is>
          <t>cost</t>
        </is>
      </c>
    </row>
    <row r="48">
      <c r="A48" t="inlineStr">
        <is>
          <t>mix_conv_cem3b_binder</t>
        </is>
      </c>
      <c r="B48" t="inlineStr">
        <is>
          <t>kg/m3</t>
        </is>
      </c>
      <c r="C48" s="3" t="n">
        <v>330</v>
      </c>
      <c r="D48" s="3" t="n">
        <v>330</v>
      </c>
      <c r="E48" s="3" t="n">
        <v>330</v>
      </c>
      <c r="F48" s="3" t="n">
        <v>2</v>
      </c>
      <c r="G48" s="3" t="n">
        <v>2</v>
      </c>
      <c r="H48">
        <f>INDEX(C48:E48,1,CHOOSE(scenario,F48,2,G48))</f>
        <v/>
      </c>
      <c r="I48" s="7" t="n"/>
      <c r="J48" s="2">
        <f>IF(I48="",H48,I48)</f>
        <v/>
      </c>
      <c r="K48" t="inlineStr">
        <is>
          <t>VERIFIED</t>
        </is>
      </c>
      <c r="L48" t="inlineStr">
        <is>
          <t>TEC-04</t>
        </is>
      </c>
      <c r="M48" t="inlineStr">
        <is>
          <t>CEM III/B</t>
        </is>
      </c>
      <c r="N48" t="inlineStr">
        <is>
          <t>fixed</t>
        </is>
      </c>
    </row>
    <row r="49">
      <c r="A49" t="inlineStr">
        <is>
          <t>mix_conv_cem3b_gravel</t>
        </is>
      </c>
      <c r="B49" t="inlineStr">
        <is>
          <t>kg/m3</t>
        </is>
      </c>
      <c r="C49" s="3" t="n">
        <v>1241</v>
      </c>
      <c r="D49" s="3" t="n">
        <v>1241</v>
      </c>
      <c r="E49" s="3" t="n">
        <v>1241</v>
      </c>
      <c r="F49" s="3" t="n">
        <v>2</v>
      </c>
      <c r="G49" s="3" t="n">
        <v>2</v>
      </c>
      <c r="H49">
        <f>INDEX(C49:E49,1,CHOOSE(scenario,F49,2,G49))</f>
        <v/>
      </c>
      <c r="I49" s="7" t="n"/>
      <c r="J49" s="2">
        <f>IF(I49="",H49,I49)</f>
        <v/>
      </c>
      <c r="K49" t="inlineStr">
        <is>
          <t>VERIFIED</t>
        </is>
      </c>
      <c r="L49" t="inlineStr">
        <is>
          <t>TEC-04</t>
        </is>
      </c>
      <c r="M49" t="inlineStr">
        <is>
          <t>Circular low = 30% RCA (V/V); base/high = 50% (CUR 112)</t>
        </is>
      </c>
      <c r="N49" t="inlineStr">
        <is>
          <t>fixed</t>
        </is>
      </c>
    </row>
    <row r="50">
      <c r="A50" t="inlineStr">
        <is>
          <t>mix_conv_cem3b_rca_coarse</t>
        </is>
      </c>
      <c r="B50" t="inlineStr">
        <is>
          <t>kg/m3</t>
        </is>
      </c>
      <c r="C50" s="3" t="n">
        <v>0</v>
      </c>
      <c r="D50" s="3" t="n">
        <v>0</v>
      </c>
      <c r="E50" s="3" t="n">
        <v>0</v>
      </c>
      <c r="F50" s="3" t="n">
        <v>2</v>
      </c>
      <c r="G50" s="3" t="n">
        <v>2</v>
      </c>
      <c r="H50">
        <f>INDEX(C50:E50,1,CHOOSE(scenario,F50,2,G50))</f>
        <v/>
      </c>
      <c r="I50" s="7" t="n"/>
      <c r="J50" s="2">
        <f>IF(I50="",H50,I50)</f>
        <v/>
      </c>
      <c r="K50" t="inlineStr">
        <is>
          <t>VERIFIED</t>
        </is>
      </c>
      <c r="L50" t="inlineStr">
        <is>
          <t>TEC-04</t>
        </is>
      </c>
      <c r="M50" t="inlineStr">
        <is>
          <t>Type A1 betongranulaat 4/16-4/22, SSD density ~2,450</t>
        </is>
      </c>
      <c r="N50" t="inlineStr">
        <is>
          <t>fixed</t>
        </is>
      </c>
    </row>
    <row r="51">
      <c r="A51" t="inlineStr">
        <is>
          <t>mix_conv_cem3b_sand</t>
        </is>
      </c>
      <c r="B51" t="inlineStr">
        <is>
          <t>kg/m3</t>
        </is>
      </c>
      <c r="C51" s="3" t="n">
        <v>639</v>
      </c>
      <c r="D51" s="3" t="n">
        <v>639</v>
      </c>
      <c r="E51" s="3" t="n">
        <v>639</v>
      </c>
      <c r="F51" s="3" t="n">
        <v>2</v>
      </c>
      <c r="G51" s="3" t="n">
        <v>2</v>
      </c>
      <c r="H51">
        <f>INDEX(C51:E51,1,CHOOSE(scenario,F51,2,G51))</f>
        <v/>
      </c>
      <c r="I51" s="7" t="n"/>
      <c r="J51" s="2">
        <f>IF(I51="",H51,I51)</f>
        <v/>
      </c>
      <c r="K51" t="inlineStr">
        <is>
          <t>VERIFIED</t>
        </is>
      </c>
      <c r="L51" t="inlineStr">
        <is>
          <t>TEC-04</t>
        </is>
      </c>
      <c r="M51" t="inlineStr">
        <is>
          <t>High-circular variant: 480 sand + 150 recycled sand</t>
        </is>
      </c>
      <c r="N51" t="inlineStr">
        <is>
          <t>fixed</t>
        </is>
      </c>
    </row>
    <row r="52">
      <c r="A52" t="inlineStr">
        <is>
          <t>mix_conv_cem3b_rca_fine</t>
        </is>
      </c>
      <c r="B52" t="inlineStr">
        <is>
          <t>kg/m3</t>
        </is>
      </c>
      <c r="C52" s="3" t="n">
        <v>0</v>
      </c>
      <c r="D52" s="3" t="n">
        <v>0</v>
      </c>
      <c r="E52" s="3" t="n">
        <v>0</v>
      </c>
      <c r="F52" s="3" t="n">
        <v>2</v>
      </c>
      <c r="G52" s="3" t="n">
        <v>2</v>
      </c>
      <c r="H52">
        <f>INDEX(C52:E52,1,CHOOSE(scenario,F52,2,G52))</f>
        <v/>
      </c>
      <c r="I52" s="7" t="n"/>
      <c r="J52" s="2">
        <f>IF(I52="",H52,I52)</f>
        <v/>
      </c>
      <c r="K52" t="inlineStr">
        <is>
          <t>VERIFIED</t>
        </is>
      </c>
      <c r="L52" t="inlineStr">
        <is>
          <t>TEC-04</t>
        </is>
      </c>
      <c r="M52" t="inlineStr">
        <is>
          <t>Recycled 0/4 only in high-circular variant (CROW-CUR 127)</t>
        </is>
      </c>
      <c r="N52" t="inlineStr">
        <is>
          <t>fixed</t>
        </is>
      </c>
    </row>
    <row r="53">
      <c r="A53" t="inlineStr">
        <is>
          <t>mix_conv_cem3b_water_effective</t>
        </is>
      </c>
      <c r="B53" t="inlineStr">
        <is>
          <t>l/m3</t>
        </is>
      </c>
      <c r="C53" s="3" t="n">
        <v>165</v>
      </c>
      <c r="D53" s="3" t="n">
        <v>165</v>
      </c>
      <c r="E53" s="3" t="n">
        <v>165</v>
      </c>
      <c r="F53" s="3" t="n">
        <v>2</v>
      </c>
      <c r="G53" s="3" t="n">
        <v>2</v>
      </c>
      <c r="H53">
        <f>INDEX(C53:E53,1,CHOOSE(scenario,F53,2,G53))</f>
        <v/>
      </c>
      <c r="I53" s="7" t="n"/>
      <c r="J53" s="2">
        <f>IF(I53="",H53,I53)</f>
        <v/>
      </c>
      <c r="K53" t="inlineStr">
        <is>
          <t>VERIFIED</t>
        </is>
      </c>
      <c r="L53" t="inlineStr">
        <is>
          <t>TEC-04</t>
        </is>
      </c>
      <c r="M53" t="inlineStr"/>
      <c r="N53" t="inlineStr">
        <is>
          <t>fixed</t>
        </is>
      </c>
    </row>
    <row r="54">
      <c r="A54" t="inlineStr">
        <is>
          <t>mix_conv_cem3b_water_absorption</t>
        </is>
      </c>
      <c r="B54" t="inlineStr">
        <is>
          <t>l/m3</t>
        </is>
      </c>
      <c r="C54" s="3" t="n">
        <v>0</v>
      </c>
      <c r="D54" s="3" t="n">
        <v>0</v>
      </c>
      <c r="E54" s="3" t="n">
        <v>0</v>
      </c>
      <c r="F54" s="3" t="n">
        <v>2</v>
      </c>
      <c r="G54" s="3" t="n">
        <v>2</v>
      </c>
      <c r="H54">
        <f>INDEX(C54:E54,1,CHOOSE(scenario,F54,2,G54))</f>
        <v/>
      </c>
      <c r="I54" s="7" t="n"/>
      <c r="J54" s="2">
        <f>IF(I54="",H54,I54)</f>
        <v/>
      </c>
      <c r="K54" t="inlineStr">
        <is>
          <t>VERIFIED</t>
        </is>
      </c>
      <c r="L54" t="inlineStr">
        <is>
          <t>A-TEC-12</t>
        </is>
      </c>
      <c r="M54" t="inlineStr">
        <is>
          <t>Pre-wetting/absorption water for RCA, not in w/c</t>
        </is>
      </c>
      <c r="N54" t="inlineStr">
        <is>
          <t>fixed</t>
        </is>
      </c>
    </row>
    <row r="55">
      <c r="A55" t="inlineStr">
        <is>
          <t>mix_conv_cem3b_superplasticiser_pct_binder</t>
        </is>
      </c>
      <c r="B55" t="inlineStr">
        <is>
          <t>%</t>
        </is>
      </c>
      <c r="C55" s="3" t="n">
        <v>0.5</v>
      </c>
      <c r="D55" s="3" t="n">
        <v>0.7</v>
      </c>
      <c r="E55" s="3" t="n">
        <v>0.9</v>
      </c>
      <c r="F55" s="3" t="n">
        <v>3</v>
      </c>
      <c r="G55" s="3" t="n">
        <v>1</v>
      </c>
      <c r="H55">
        <f>INDEX(C55:E55,1,CHOOSE(scenario,F55,2,G55))</f>
        <v/>
      </c>
      <c r="I55" s="7" t="n"/>
      <c r="J55" s="2">
        <f>IF(I55="",H55,I55)</f>
        <v/>
      </c>
      <c r="K55" t="inlineStr">
        <is>
          <t>ASSUMPTION</t>
        </is>
      </c>
      <c r="L55" t="inlineStr">
        <is>
          <t>CST-12;A-TEC-13;A-CST-10</t>
        </is>
      </c>
      <c r="M55" t="inlineStr">
        <is>
          <t>Liquid PCE; circular = reference +0.2 pt (0-0.5)</t>
        </is>
      </c>
      <c r="N55" t="inlineStr">
        <is>
          <t>cost</t>
        </is>
      </c>
    </row>
    <row r="56">
      <c r="A56" t="inlineStr">
        <is>
          <t>mix_conv_cem1_binder</t>
        </is>
      </c>
      <c r="B56" t="inlineStr">
        <is>
          <t>kg/m3</t>
        </is>
      </c>
      <c r="C56" s="3" t="n">
        <v>320</v>
      </c>
      <c r="D56" s="3" t="n">
        <v>320</v>
      </c>
      <c r="E56" s="3" t="n">
        <v>320</v>
      </c>
      <c r="F56" s="3" t="n">
        <v>2</v>
      </c>
      <c r="G56" s="3" t="n">
        <v>2</v>
      </c>
      <c r="H56">
        <f>INDEX(C56:E56,1,CHOOSE(scenario,F56,2,G56))</f>
        <v/>
      </c>
      <c r="I56" s="7" t="n"/>
      <c r="J56" s="2">
        <f>IF(I56="",H56,I56)</f>
        <v/>
      </c>
      <c r="K56" t="inlineStr">
        <is>
          <t>VERIFIED</t>
        </is>
      </c>
      <c r="L56" t="inlineStr">
        <is>
          <t>TEC-04</t>
        </is>
      </c>
      <c r="M56" t="inlineStr">
        <is>
          <t>CEM I 52.5R. NMD reference</t>
        </is>
      </c>
      <c r="N56" t="inlineStr">
        <is>
          <t>fixed</t>
        </is>
      </c>
    </row>
    <row r="57">
      <c r="A57" t="inlineStr">
        <is>
          <t>mix_conv_cem1_gravel</t>
        </is>
      </c>
      <c r="B57" t="inlineStr">
        <is>
          <t>kg/m3</t>
        </is>
      </c>
      <c r="C57" s="3" t="n">
        <v>1241</v>
      </c>
      <c r="D57" s="3" t="n">
        <v>1241</v>
      </c>
      <c r="E57" s="3" t="n">
        <v>1241</v>
      </c>
      <c r="F57" s="3" t="n">
        <v>2</v>
      </c>
      <c r="G57" s="3" t="n">
        <v>2</v>
      </c>
      <c r="H57">
        <f>INDEX(C57:E57,1,CHOOSE(scenario,F57,2,G57))</f>
        <v/>
      </c>
      <c r="I57" s="7" t="n"/>
      <c r="J57" s="2">
        <f>IF(I57="",H57,I57)</f>
        <v/>
      </c>
      <c r="K57" t="inlineStr">
        <is>
          <t>VERIFIED</t>
        </is>
      </c>
      <c r="L57" t="inlineStr">
        <is>
          <t>TEC-04</t>
        </is>
      </c>
      <c r="M57" t="inlineStr">
        <is>
          <t>Circular low = 30% RCA (V/V); base/high = 50% (CUR 112)</t>
        </is>
      </c>
      <c r="N57" t="inlineStr">
        <is>
          <t>fixed</t>
        </is>
      </c>
    </row>
    <row r="58">
      <c r="A58" t="inlineStr">
        <is>
          <t>mix_conv_cem1_rca_coarse</t>
        </is>
      </c>
      <c r="B58" t="inlineStr">
        <is>
          <t>kg/m3</t>
        </is>
      </c>
      <c r="C58" s="3" t="n">
        <v>0</v>
      </c>
      <c r="D58" s="3" t="n">
        <v>0</v>
      </c>
      <c r="E58" s="3" t="n">
        <v>0</v>
      </c>
      <c r="F58" s="3" t="n">
        <v>2</v>
      </c>
      <c r="G58" s="3" t="n">
        <v>2</v>
      </c>
      <c r="H58">
        <f>INDEX(C58:E58,1,CHOOSE(scenario,F58,2,G58))</f>
        <v/>
      </c>
      <c r="I58" s="7" t="n"/>
      <c r="J58" s="2">
        <f>IF(I58="",H58,I58)</f>
        <v/>
      </c>
      <c r="K58" t="inlineStr">
        <is>
          <t>VERIFIED</t>
        </is>
      </c>
      <c r="L58" t="inlineStr">
        <is>
          <t>TEC-04</t>
        </is>
      </c>
      <c r="M58" t="inlineStr">
        <is>
          <t>Type A1 betongranulaat 4/16-4/22, SSD density ~2,450</t>
        </is>
      </c>
      <c r="N58" t="inlineStr">
        <is>
          <t>fixed</t>
        </is>
      </c>
    </row>
    <row r="59">
      <c r="A59" t="inlineStr">
        <is>
          <t>mix_conv_cem1_sand</t>
        </is>
      </c>
      <c r="B59" t="inlineStr">
        <is>
          <t>kg/m3</t>
        </is>
      </c>
      <c r="C59" s="3" t="n">
        <v>639</v>
      </c>
      <c r="D59" s="3" t="n">
        <v>639</v>
      </c>
      <c r="E59" s="3" t="n">
        <v>639</v>
      </c>
      <c r="F59" s="3" t="n">
        <v>2</v>
      </c>
      <c r="G59" s="3" t="n">
        <v>2</v>
      </c>
      <c r="H59">
        <f>INDEX(C59:E59,1,CHOOSE(scenario,F59,2,G59))</f>
        <v/>
      </c>
      <c r="I59" s="7" t="n"/>
      <c r="J59" s="2">
        <f>IF(I59="",H59,I59)</f>
        <v/>
      </c>
      <c r="K59" t="inlineStr">
        <is>
          <t>VERIFIED</t>
        </is>
      </c>
      <c r="L59" t="inlineStr">
        <is>
          <t>TEC-04</t>
        </is>
      </c>
      <c r="M59" t="inlineStr">
        <is>
          <t>High-circular variant: 480 sand + 150 recycled sand</t>
        </is>
      </c>
      <c r="N59" t="inlineStr">
        <is>
          <t>fixed</t>
        </is>
      </c>
    </row>
    <row r="60">
      <c r="A60" t="inlineStr">
        <is>
          <t>mix_conv_cem1_rca_fine</t>
        </is>
      </c>
      <c r="B60" t="inlineStr">
        <is>
          <t>kg/m3</t>
        </is>
      </c>
      <c r="C60" s="3" t="n">
        <v>0</v>
      </c>
      <c r="D60" s="3" t="n">
        <v>0</v>
      </c>
      <c r="E60" s="3" t="n">
        <v>0</v>
      </c>
      <c r="F60" s="3" t="n">
        <v>2</v>
      </c>
      <c r="G60" s="3" t="n">
        <v>2</v>
      </c>
      <c r="H60">
        <f>INDEX(C60:E60,1,CHOOSE(scenario,F60,2,G60))</f>
        <v/>
      </c>
      <c r="I60" s="7" t="n"/>
      <c r="J60" s="2">
        <f>IF(I60="",H60,I60)</f>
        <v/>
      </c>
      <c r="K60" t="inlineStr">
        <is>
          <t>VERIFIED</t>
        </is>
      </c>
      <c r="L60" t="inlineStr">
        <is>
          <t>TEC-04</t>
        </is>
      </c>
      <c r="M60" t="inlineStr">
        <is>
          <t>Recycled 0/4 only in high-circular variant (CROW-CUR 127)</t>
        </is>
      </c>
      <c r="N60" t="inlineStr">
        <is>
          <t>fixed</t>
        </is>
      </c>
    </row>
    <row r="61">
      <c r="A61" t="inlineStr">
        <is>
          <t>mix_conv_cem1_water_effective</t>
        </is>
      </c>
      <c r="B61" t="inlineStr">
        <is>
          <t>l/m3</t>
        </is>
      </c>
      <c r="C61" s="3" t="n">
        <v>165</v>
      </c>
      <c r="D61" s="3" t="n">
        <v>165</v>
      </c>
      <c r="E61" s="3" t="n">
        <v>165</v>
      </c>
      <c r="F61" s="3" t="n">
        <v>2</v>
      </c>
      <c r="G61" s="3" t="n">
        <v>2</v>
      </c>
      <c r="H61">
        <f>INDEX(C61:E61,1,CHOOSE(scenario,F61,2,G61))</f>
        <v/>
      </c>
      <c r="I61" s="7" t="n"/>
      <c r="J61" s="2">
        <f>IF(I61="",H61,I61)</f>
        <v/>
      </c>
      <c r="K61" t="inlineStr">
        <is>
          <t>VERIFIED</t>
        </is>
      </c>
      <c r="L61" t="inlineStr">
        <is>
          <t>TEC-04</t>
        </is>
      </c>
      <c r="M61" t="inlineStr"/>
      <c r="N61" t="inlineStr">
        <is>
          <t>fixed</t>
        </is>
      </c>
    </row>
    <row r="62">
      <c r="A62" t="inlineStr">
        <is>
          <t>mix_conv_cem1_water_absorption</t>
        </is>
      </c>
      <c r="B62" t="inlineStr">
        <is>
          <t>l/m3</t>
        </is>
      </c>
      <c r="C62" s="3" t="n">
        <v>0</v>
      </c>
      <c r="D62" s="3" t="n">
        <v>0</v>
      </c>
      <c r="E62" s="3" t="n">
        <v>0</v>
      </c>
      <c r="F62" s="3" t="n">
        <v>2</v>
      </c>
      <c r="G62" s="3" t="n">
        <v>2</v>
      </c>
      <c r="H62">
        <f>INDEX(C62:E62,1,CHOOSE(scenario,F62,2,G62))</f>
        <v/>
      </c>
      <c r="I62" s="7" t="n"/>
      <c r="J62" s="2">
        <f>IF(I62="",H62,I62)</f>
        <v/>
      </c>
      <c r="K62" t="inlineStr">
        <is>
          <t>VERIFIED</t>
        </is>
      </c>
      <c r="L62" t="inlineStr">
        <is>
          <t>A-TEC-12</t>
        </is>
      </c>
      <c r="M62" t="inlineStr">
        <is>
          <t>Pre-wetting/absorption water for RCA, not in w/c</t>
        </is>
      </c>
      <c r="N62" t="inlineStr">
        <is>
          <t>fixed</t>
        </is>
      </c>
    </row>
    <row r="63">
      <c r="A63" t="inlineStr">
        <is>
          <t>mix_conv_cem1_superplasticiser_pct_binder</t>
        </is>
      </c>
      <c r="B63" t="inlineStr">
        <is>
          <t>%</t>
        </is>
      </c>
      <c r="C63" s="3" t="n">
        <v>0.5</v>
      </c>
      <c r="D63" s="3" t="n">
        <v>0.7</v>
      </c>
      <c r="E63" s="3" t="n">
        <v>0.9</v>
      </c>
      <c r="F63" s="3" t="n">
        <v>2</v>
      </c>
      <c r="G63" s="3" t="n">
        <v>2</v>
      </c>
      <c r="H63">
        <f>INDEX(C63:E63,1,CHOOSE(scenario,F63,2,G63))</f>
        <v/>
      </c>
      <c r="I63" s="7" t="n"/>
      <c r="J63" s="2">
        <f>IF(I63="",H63,I63)</f>
        <v/>
      </c>
      <c r="K63" t="inlineStr">
        <is>
          <t>ASSUMPTION</t>
        </is>
      </c>
      <c r="L63" t="inlineStr">
        <is>
          <t>CST-12;A-TEC-13;A-CST-10</t>
        </is>
      </c>
      <c r="M63" t="inlineStr">
        <is>
          <t>Liquid PCE; circular = reference +0.2 pt (0-0.5)</t>
        </is>
      </c>
      <c r="N63" t="inlineStr">
        <is>
          <t>fixed</t>
        </is>
      </c>
    </row>
    <row r="64">
      <c r="A64" t="inlineStr">
        <is>
          <t>mix_plant_avg_binder_conv</t>
        </is>
      </c>
      <c r="B64" t="inlineStr">
        <is>
          <t>kg/m3</t>
        </is>
      </c>
      <c r="C64" s="3" t="n">
        <v>290</v>
      </c>
      <c r="D64" s="3" t="n">
        <v>310</v>
      </c>
      <c r="E64" s="3" t="n">
        <v>330</v>
      </c>
      <c r="F64" s="3" t="n">
        <v>3</v>
      </c>
      <c r="G64" s="3" t="n">
        <v>1</v>
      </c>
      <c r="H64">
        <f>INDEX(C64:E64,1,CHOOSE(scenario,F64,2,G64))</f>
        <v/>
      </c>
      <c r="I64" s="7" t="n"/>
      <c r="J64" s="2">
        <f>IF(I64="",H64,I64)</f>
        <v/>
      </c>
      <c r="K64" t="inlineStr">
        <is>
          <t>ESTIMATE</t>
        </is>
      </c>
      <c r="L64" t="inlineStr">
        <is>
          <t>CMP-43;A-CST-11</t>
        </is>
      </c>
      <c r="M64" t="inlineStr">
        <is>
          <t>Plant average over all strength classes (NL avg cement ~310 kg/m3, ERMCO 2023). Use with avg price</t>
        </is>
      </c>
      <c r="N64" t="inlineStr">
        <is>
          <t>cost</t>
        </is>
      </c>
    </row>
    <row r="65">
      <c r="A65" t="inlineStr">
        <is>
          <t>mix_plant_avg_binder_circ</t>
        </is>
      </c>
      <c r="B65" t="inlineStr">
        <is>
          <t>kg/m3</t>
        </is>
      </c>
      <c r="C65" s="3" t="n">
        <v>305</v>
      </c>
      <c r="D65" s="3" t="n">
        <v>325</v>
      </c>
      <c r="E65" s="3" t="n">
        <v>345</v>
      </c>
      <c r="F65" s="3" t="n">
        <v>3</v>
      </c>
      <c r="G65" s="3" t="n">
        <v>1</v>
      </c>
      <c r="H65">
        <f>INDEX(C65:E65,1,CHOOSE(scenario,F65,2,G65))</f>
        <v/>
      </c>
      <c r="I65" s="7" t="n"/>
      <c r="J65" s="2">
        <f>IF(I65="",H65,I65)</f>
        <v/>
      </c>
      <c r="K65" t="inlineStr">
        <is>
          <t>ESTIMATE</t>
        </is>
      </c>
      <c r="L65" t="inlineStr">
        <is>
          <t>CMP-43;A-TEC-11</t>
        </is>
      </c>
      <c r="M65" t="inlineStr">
        <is>
          <t>Avg + 15 kg for RCA</t>
        </is>
      </c>
      <c r="N65" t="inlineStr">
        <is>
          <t>cost</t>
        </is>
      </c>
    </row>
    <row r="66">
      <c r="A66" t="inlineStr">
        <is>
          <t>price_cem3b_2026_delivered</t>
        </is>
      </c>
      <c r="B66" t="inlineStr">
        <is>
          <t>EUR/t</t>
        </is>
      </c>
      <c r="C66" s="3" t="n">
        <v>95</v>
      </c>
      <c r="D66" s="3" t="n">
        <v>110</v>
      </c>
      <c r="E66" s="3" t="n">
        <v>130</v>
      </c>
      <c r="F66" s="3" t="n">
        <v>3</v>
      </c>
      <c r="G66" s="3" t="n">
        <v>1</v>
      </c>
      <c r="H66">
        <f>INDEX(C66:E66,1,CHOOSE(scenario,F66,2,G66))</f>
        <v/>
      </c>
      <c r="I66" s="7" t="n"/>
      <c r="J66" s="2">
        <f>IF(I66="",H66,I66)</f>
        <v/>
      </c>
      <c r="K66" t="inlineStr">
        <is>
          <t>ESTIMATE</t>
        </is>
      </c>
      <c r="L66" t="inlineStr">
        <is>
          <t>A-MKT-19;CST-14;CST-11;MKT-25;A-CST-12</t>
        </is>
      </c>
      <c r="M66" t="inlineStr">
        <is>
          <t>Bulk delivered, incl. 2026 carbon cost (~EUR 4/t). Raised from A-MKT-19 (105) after Argus/Sika evidence</t>
        </is>
      </c>
      <c r="N66" t="inlineStr">
        <is>
          <t>cost</t>
        </is>
      </c>
    </row>
    <row r="67">
      <c r="A67" t="inlineStr">
        <is>
          <t>price_cem1_2026_delivered</t>
        </is>
      </c>
      <c r="B67" t="inlineStr">
        <is>
          <t>EUR/t</t>
        </is>
      </c>
      <c r="C67" s="3" t="n">
        <v>120</v>
      </c>
      <c r="D67" s="3" t="n">
        <v>140</v>
      </c>
      <c r="E67" s="3" t="n">
        <v>165</v>
      </c>
      <c r="F67" s="3" t="n">
        <v>2</v>
      </c>
      <c r="G67" s="3" t="n">
        <v>2</v>
      </c>
      <c r="H67">
        <f>INDEX(C67:E67,1,CHOOSE(scenario,F67,2,G67))</f>
        <v/>
      </c>
      <c r="I67" s="7" t="n"/>
      <c r="J67" s="2">
        <f>IF(I67="",H67,I67)</f>
        <v/>
      </c>
      <c r="K67" t="inlineStr">
        <is>
          <t>ESTIMATE</t>
        </is>
      </c>
      <c r="L67" t="inlineStr">
        <is>
          <t>A-MKT-20;CST-14;CST-11;MKT-25;A-CST-12</t>
        </is>
      </c>
      <c r="M67" t="inlineStr">
        <is>
          <t>Incl. 2026 carbon cost (~EUR 14/t). Raised from A-MKT-20 (125)</t>
        </is>
      </c>
      <c r="N67" t="inlineStr">
        <is>
          <t>fixed</t>
        </is>
      </c>
    </row>
    <row r="68">
      <c r="A68" t="inlineStr">
        <is>
          <t>cement_carbon_passthrough</t>
        </is>
      </c>
      <c r="B68" t="inlineStr">
        <is>
          <t>%</t>
        </is>
      </c>
      <c r="C68" s="3" t="n">
        <v>50</v>
      </c>
      <c r="D68" s="3" t="n">
        <v>85</v>
      </c>
      <c r="E68" s="3" t="n">
        <v>100</v>
      </c>
      <c r="F68" s="3" t="n">
        <v>3</v>
      </c>
      <c r="G68" s="3" t="n">
        <v>1</v>
      </c>
      <c r="H68">
        <f>INDEX(C68:E68,1,CHOOSE(scenario,F68,2,G68))</f>
        <v/>
      </c>
      <c r="I68" s="7" t="n"/>
      <c r="J68" s="2">
        <f>IF(I68="",H68,I68)</f>
        <v/>
      </c>
      <c r="K68" t="inlineStr">
        <is>
          <t>ASSUMPTION</t>
        </is>
      </c>
      <c r="L68" t="inlineStr">
        <is>
          <t>A-POL-09</t>
        </is>
      </c>
      <c r="M68" t="inlineStr">
        <is>
          <t>cement_price(y) = price_2026 + passthrough x (carbon_cost(y) - carbon_cost(2026)), same path</t>
        </is>
      </c>
      <c r="N68" t="inlineStr">
        <is>
          <t>cost</t>
        </is>
      </c>
    </row>
    <row r="69">
      <c r="A69" t="inlineStr">
        <is>
          <t>cem3b_slag_scarcity_uplift_2031plus</t>
        </is>
      </c>
      <c r="B69" t="inlineStr">
        <is>
          <t>%</t>
        </is>
      </c>
      <c r="C69" s="3" t="n">
        <v>0</v>
      </c>
      <c r="D69" s="3" t="n">
        <v>10</v>
      </c>
      <c r="E69" s="3" t="n">
        <v>25</v>
      </c>
      <c r="F69" s="3" t="n">
        <v>3</v>
      </c>
      <c r="G69" s="3" t="n">
        <v>1</v>
      </c>
      <c r="H69">
        <f>INDEX(C69:E69,1,CHOOSE(scenario,F69,2,G69))</f>
        <v/>
      </c>
      <c r="I69" s="7" t="n"/>
      <c r="J69" s="2">
        <f>IF(I69="",H69,I69)</f>
        <v/>
      </c>
      <c r="K69" t="inlineStr">
        <is>
          <t>ASSUMPTION</t>
        </is>
      </c>
      <c r="L69" t="inlineStr">
        <is>
          <t>A-POL-28;A-TEC-46</t>
        </is>
      </c>
      <c r="M69" t="inlineStr">
        <is>
          <t>Extra CEM III/B price from 2031 (Tata BF7 -&gt; DRI)</t>
        </is>
      </c>
      <c r="N69" t="inlineStr">
        <is>
          <t>cost</t>
        </is>
      </c>
    </row>
    <row r="70">
      <c r="A70" t="inlineStr">
        <is>
          <t>concrete_price_passthrough_of_market_binder_cost</t>
        </is>
      </c>
      <c r="B70" t="inlineStr">
        <is>
          <t>%</t>
        </is>
      </c>
      <c r="C70" s="3" t="n">
        <v>50</v>
      </c>
      <c r="D70" s="3" t="n">
        <v>80</v>
      </c>
      <c r="E70" s="3" t="n">
        <v>100</v>
      </c>
      <c r="F70" s="3" t="n">
        <v>1</v>
      </c>
      <c r="G70" s="3" t="n">
        <v>3</v>
      </c>
      <c r="H70">
        <f>INDEX(C70:E70,1,CHOOSE(scenario,F70,2,G70))</f>
        <v/>
      </c>
      <c r="I70" s="7" t="n"/>
      <c r="J70" s="2">
        <f>IF(I70="",H70,I70)</f>
        <v/>
      </c>
      <c r="K70" t="inlineStr">
        <is>
          <t>ASSUMPTION</t>
        </is>
      </c>
      <c r="L70" t="inlineStr">
        <is>
          <t>A-CST-13</t>
        </is>
      </c>
      <c r="M70" t="inlineStr">
        <is>
          <t>Share of the market-wide CEM III/B cost increase passed into ready-mix prices (all producers face it)</t>
        </is>
      </c>
      <c r="N70" t="inlineStr">
        <is>
          <t>rev</t>
        </is>
      </c>
    </row>
    <row r="71">
      <c r="A71" t="inlineStr">
        <is>
          <t>eua_price_2026</t>
        </is>
      </c>
      <c r="B71" t="inlineStr">
        <is>
          <t>EUR/tCO2</t>
        </is>
      </c>
      <c r="C71" s="3" t="n">
        <v>85</v>
      </c>
      <c r="D71" s="3" t="n">
        <v>85</v>
      </c>
      <c r="E71" s="3" t="n">
        <v>85</v>
      </c>
      <c r="F71" s="3" t="n">
        <v>2</v>
      </c>
      <c r="G71" s="3" t="n">
        <v>2</v>
      </c>
      <c r="H71">
        <f>INDEX(C71:E71,1,CHOOSE(scenario,F71,2,G71))</f>
        <v/>
      </c>
      <c r="I71" s="7" t="n"/>
      <c r="J71" s="2">
        <f>IF(I71="",H71,I71)</f>
        <v/>
      </c>
      <c r="K71" t="inlineStr">
        <is>
          <t>VERIFIED</t>
        </is>
      </c>
      <c r="L71" t="inlineStr">
        <is>
          <t>A-POL-01;A-POL-02;A-POL-03;POL-44</t>
        </is>
      </c>
      <c r="M71" t="inlineStr">
        <is>
          <t>Interpolated between policy anchor years 2027/2030/2034</t>
        </is>
      </c>
      <c r="N71" t="inlineStr">
        <is>
          <t>fixed</t>
        </is>
      </c>
    </row>
    <row r="72">
      <c r="A72" t="inlineStr">
        <is>
          <t>eua_price_2027</t>
        </is>
      </c>
      <c r="B72" t="inlineStr">
        <is>
          <t>EUR/tCO2</t>
        </is>
      </c>
      <c r="C72" s="3" t="n">
        <v>65</v>
      </c>
      <c r="D72" s="3" t="n">
        <v>88</v>
      </c>
      <c r="E72" s="3" t="n">
        <v>105</v>
      </c>
      <c r="F72" s="3" t="n">
        <v>2</v>
      </c>
      <c r="G72" s="3" t="n">
        <v>2</v>
      </c>
      <c r="H72">
        <f>INDEX(C72:E72,1,CHOOSE(scenario,F72,2,G72))</f>
        <v/>
      </c>
      <c r="I72" s="7" t="n"/>
      <c r="J72" s="2">
        <f>IF(I72="",H72,I72)</f>
        <v/>
      </c>
      <c r="K72" t="inlineStr">
        <is>
          <t>ESTIMATE</t>
        </is>
      </c>
      <c r="L72" t="inlineStr">
        <is>
          <t>A-POL-01;A-POL-02;A-POL-03;POL-44</t>
        </is>
      </c>
      <c r="M72" t="inlineStr">
        <is>
          <t>Interpolated between policy anchor years 2027/2030/2034</t>
        </is>
      </c>
      <c r="N72" t="inlineStr">
        <is>
          <t>fixed</t>
        </is>
      </c>
    </row>
    <row r="73">
      <c r="A73" t="inlineStr">
        <is>
          <t>eua_price_2028</t>
        </is>
      </c>
      <c r="B73" t="inlineStr">
        <is>
          <t>EUR/tCO2</t>
        </is>
      </c>
      <c r="C73" s="3" t="n">
        <v>67</v>
      </c>
      <c r="D73" s="3" t="n">
        <v>91</v>
      </c>
      <c r="E73" s="3" t="n">
        <v>113</v>
      </c>
      <c r="F73" s="3" t="n">
        <v>2</v>
      </c>
      <c r="G73" s="3" t="n">
        <v>2</v>
      </c>
      <c r="H73">
        <f>INDEX(C73:E73,1,CHOOSE(scenario,F73,2,G73))</f>
        <v/>
      </c>
      <c r="I73" s="7" t="n"/>
      <c r="J73" s="2">
        <f>IF(I73="",H73,I73)</f>
        <v/>
      </c>
      <c r="K73" t="inlineStr">
        <is>
          <t>ESTIMATE</t>
        </is>
      </c>
      <c r="L73" t="inlineStr">
        <is>
          <t>A-POL-01;A-POL-02;A-POL-03;POL-44</t>
        </is>
      </c>
      <c r="M73" t="inlineStr">
        <is>
          <t>Interpolated between policy anchor years 2027/2030/2034</t>
        </is>
      </c>
      <c r="N73" t="inlineStr">
        <is>
          <t>fixed</t>
        </is>
      </c>
    </row>
    <row r="74">
      <c r="A74" t="inlineStr">
        <is>
          <t>eua_price_2029</t>
        </is>
      </c>
      <c r="B74" t="inlineStr">
        <is>
          <t>EUR/tCO2</t>
        </is>
      </c>
      <c r="C74" s="3" t="n">
        <v>68</v>
      </c>
      <c r="D74" s="3" t="n">
        <v>95</v>
      </c>
      <c r="E74" s="3" t="n">
        <v>122</v>
      </c>
      <c r="F74" s="3" t="n">
        <v>2</v>
      </c>
      <c r="G74" s="3" t="n">
        <v>2</v>
      </c>
      <c r="H74">
        <f>INDEX(C74:E74,1,CHOOSE(scenario,F74,2,G74))</f>
        <v/>
      </c>
      <c r="I74" s="7" t="n"/>
      <c r="J74" s="2">
        <f>IF(I74="",H74,I74)</f>
        <v/>
      </c>
      <c r="K74" t="inlineStr">
        <is>
          <t>ESTIMATE</t>
        </is>
      </c>
      <c r="L74" t="inlineStr">
        <is>
          <t>A-POL-01;A-POL-02;A-POL-03;POL-44</t>
        </is>
      </c>
      <c r="M74" t="inlineStr">
        <is>
          <t>Interpolated between policy anchor years 2027/2030/2034</t>
        </is>
      </c>
      <c r="N74" t="inlineStr">
        <is>
          <t>fixed</t>
        </is>
      </c>
    </row>
    <row r="75">
      <c r="A75" t="inlineStr">
        <is>
          <t>eua_price_2030</t>
        </is>
      </c>
      <c r="B75" t="inlineStr">
        <is>
          <t>EUR/tCO2</t>
        </is>
      </c>
      <c r="C75" s="3" t="n">
        <v>70</v>
      </c>
      <c r="D75" s="3" t="n">
        <v>100</v>
      </c>
      <c r="E75" s="3" t="n">
        <v>130</v>
      </c>
      <c r="F75" s="3" t="n">
        <v>2</v>
      </c>
      <c r="G75" s="3" t="n">
        <v>2</v>
      </c>
      <c r="H75">
        <f>INDEX(C75:E75,1,CHOOSE(scenario,F75,2,G75))</f>
        <v/>
      </c>
      <c r="I75" s="7" t="n"/>
      <c r="J75" s="2">
        <f>IF(I75="",H75,I75)</f>
        <v/>
      </c>
      <c r="K75" t="inlineStr">
        <is>
          <t>ESTIMATE</t>
        </is>
      </c>
      <c r="L75" t="inlineStr">
        <is>
          <t>A-POL-01;A-POL-02;A-POL-03;POL-44</t>
        </is>
      </c>
      <c r="M75" t="inlineStr">
        <is>
          <t>Interpolated between policy anchor years 2027/2030/2034</t>
        </is>
      </c>
      <c r="N75" t="inlineStr">
        <is>
          <t>fixed</t>
        </is>
      </c>
    </row>
    <row r="76">
      <c r="A76" t="inlineStr">
        <is>
          <t>eua_price_2031</t>
        </is>
      </c>
      <c r="B76" t="inlineStr">
        <is>
          <t>EUR/tCO2</t>
        </is>
      </c>
      <c r="C76" s="3" t="n">
        <v>73</v>
      </c>
      <c r="D76" s="3" t="n">
        <v>105</v>
      </c>
      <c r="E76" s="3" t="n">
        <v>142</v>
      </c>
      <c r="F76" s="3" t="n">
        <v>2</v>
      </c>
      <c r="G76" s="3" t="n">
        <v>2</v>
      </c>
      <c r="H76">
        <f>INDEX(C76:E76,1,CHOOSE(scenario,F76,2,G76))</f>
        <v/>
      </c>
      <c r="I76" s="7" t="n"/>
      <c r="J76" s="2">
        <f>IF(I76="",H76,I76)</f>
        <v/>
      </c>
      <c r="K76" t="inlineStr">
        <is>
          <t>ESTIMATE</t>
        </is>
      </c>
      <c r="L76" t="inlineStr">
        <is>
          <t>A-POL-01;A-POL-02;A-POL-03;POL-44</t>
        </is>
      </c>
      <c r="M76" t="inlineStr">
        <is>
          <t>Interpolated between policy anchor years 2027/2030/2034</t>
        </is>
      </c>
      <c r="N76" t="inlineStr">
        <is>
          <t>fixed</t>
        </is>
      </c>
    </row>
    <row r="77">
      <c r="A77" t="inlineStr">
        <is>
          <t>eua_price_2032</t>
        </is>
      </c>
      <c r="B77" t="inlineStr">
        <is>
          <t>EUR/tCO2</t>
        </is>
      </c>
      <c r="C77" s="3" t="n">
        <v>76</v>
      </c>
      <c r="D77" s="3" t="n">
        <v>111</v>
      </c>
      <c r="E77" s="3" t="n">
        <v>155</v>
      </c>
      <c r="F77" s="3" t="n">
        <v>2</v>
      </c>
      <c r="G77" s="3" t="n">
        <v>2</v>
      </c>
      <c r="H77">
        <f>INDEX(C77:E77,1,CHOOSE(scenario,F77,2,G77))</f>
        <v/>
      </c>
      <c r="I77" s="7" t="n"/>
      <c r="J77" s="2">
        <f>IF(I77="",H77,I77)</f>
        <v/>
      </c>
      <c r="K77" t="inlineStr">
        <is>
          <t>ESTIMATE</t>
        </is>
      </c>
      <c r="L77" t="inlineStr">
        <is>
          <t>A-POL-01;A-POL-02;A-POL-03;POL-44</t>
        </is>
      </c>
      <c r="M77" t="inlineStr">
        <is>
          <t>Interpolated between policy anchor years 2027/2030/2034</t>
        </is>
      </c>
      <c r="N77" t="inlineStr">
        <is>
          <t>fixed</t>
        </is>
      </c>
    </row>
    <row r="78">
      <c r="A78" t="inlineStr">
        <is>
          <t>eua_price_2033</t>
        </is>
      </c>
      <c r="B78" t="inlineStr">
        <is>
          <t>EUR/tCO2</t>
        </is>
      </c>
      <c r="C78" s="3" t="n">
        <v>80</v>
      </c>
      <c r="D78" s="3" t="n">
        <v>118</v>
      </c>
      <c r="E78" s="3" t="n">
        <v>167</v>
      </c>
      <c r="F78" s="3" t="n">
        <v>2</v>
      </c>
      <c r="G78" s="3" t="n">
        <v>2</v>
      </c>
      <c r="H78">
        <f>INDEX(C78:E78,1,CHOOSE(scenario,F78,2,G78))</f>
        <v/>
      </c>
      <c r="I78" s="7" t="n"/>
      <c r="J78" s="2">
        <f>IF(I78="",H78,I78)</f>
        <v/>
      </c>
      <c r="K78" t="inlineStr">
        <is>
          <t>ESTIMATE</t>
        </is>
      </c>
      <c r="L78" t="inlineStr">
        <is>
          <t>A-POL-01;A-POL-02;A-POL-03;POL-44</t>
        </is>
      </c>
      <c r="M78" t="inlineStr">
        <is>
          <t>Interpolated between policy anchor years 2027/2030/2034</t>
        </is>
      </c>
      <c r="N78" t="inlineStr">
        <is>
          <t>fixed</t>
        </is>
      </c>
    </row>
    <row r="79">
      <c r="A79" t="inlineStr">
        <is>
          <t>eua_price_2034</t>
        </is>
      </c>
      <c r="B79" t="inlineStr">
        <is>
          <t>EUR/tCO2</t>
        </is>
      </c>
      <c r="C79" s="3" t="n">
        <v>85</v>
      </c>
      <c r="D79" s="3" t="n">
        <v>125</v>
      </c>
      <c r="E79" s="3" t="n">
        <v>180</v>
      </c>
      <c r="F79" s="3" t="n">
        <v>2</v>
      </c>
      <c r="G79" s="3" t="n">
        <v>2</v>
      </c>
      <c r="H79">
        <f>INDEX(C79:E79,1,CHOOSE(scenario,F79,2,G79))</f>
        <v/>
      </c>
      <c r="I79" s="7" t="n"/>
      <c r="J79" s="2">
        <f>IF(I79="",H79,I79)</f>
        <v/>
      </c>
      <c r="K79" t="inlineStr">
        <is>
          <t>ESTIMATE</t>
        </is>
      </c>
      <c r="L79" t="inlineStr">
        <is>
          <t>A-POL-01;A-POL-02;A-POL-03;POL-44</t>
        </is>
      </c>
      <c r="M79" t="inlineStr">
        <is>
          <t>Interpolated between policy anchor years 2027/2030/2034</t>
        </is>
      </c>
      <c r="N79" t="inlineStr">
        <is>
          <t>fixed</t>
        </is>
      </c>
    </row>
    <row r="80">
      <c r="A80" t="inlineStr">
        <is>
          <t>eua_price_2035</t>
        </is>
      </c>
      <c r="B80" t="inlineStr">
        <is>
          <t>EUR/tCO2</t>
        </is>
      </c>
      <c r="C80" s="3" t="n">
        <v>85</v>
      </c>
      <c r="D80" s="3" t="n">
        <v>125</v>
      </c>
      <c r="E80" s="3" t="n">
        <v>180</v>
      </c>
      <c r="F80" s="3" t="n">
        <v>2</v>
      </c>
      <c r="G80" s="3" t="n">
        <v>2</v>
      </c>
      <c r="H80">
        <f>INDEX(C80:E80,1,CHOOSE(scenario,F80,2,G80))</f>
        <v/>
      </c>
      <c r="I80" s="7" t="n"/>
      <c r="J80" s="2">
        <f>IF(I80="",H80,I80)</f>
        <v/>
      </c>
      <c r="K80" t="inlineStr">
        <is>
          <t>ESTIMATE</t>
        </is>
      </c>
      <c r="L80" t="inlineStr">
        <is>
          <t>A-POL-01;A-POL-02;A-POL-03;POL-44</t>
        </is>
      </c>
      <c r="M80" t="inlineStr">
        <is>
          <t>Interpolated between policy anchor years 2027/2030/2034</t>
        </is>
      </c>
      <c r="N80" t="inlineStr">
        <is>
          <t>fixed</t>
        </is>
      </c>
    </row>
    <row r="81">
      <c r="A81" t="inlineStr">
        <is>
          <t>eua_price_2036</t>
        </is>
      </c>
      <c r="B81" t="inlineStr">
        <is>
          <t>EUR/tCO2</t>
        </is>
      </c>
      <c r="C81" s="3" t="n">
        <v>85</v>
      </c>
      <c r="D81" s="3" t="n">
        <v>125</v>
      </c>
      <c r="E81" s="3" t="n">
        <v>180</v>
      </c>
      <c r="F81" s="3" t="n">
        <v>2</v>
      </c>
      <c r="G81" s="3" t="n">
        <v>2</v>
      </c>
      <c r="H81">
        <f>INDEX(C81:E81,1,CHOOSE(scenario,F81,2,G81))</f>
        <v/>
      </c>
      <c r="I81" s="7" t="n"/>
      <c r="J81" s="2">
        <f>IF(I81="",H81,I81)</f>
        <v/>
      </c>
      <c r="K81" t="inlineStr">
        <is>
          <t>ESTIMATE</t>
        </is>
      </c>
      <c r="L81" t="inlineStr">
        <is>
          <t>A-POL-01;A-POL-02;A-POL-03;POL-44</t>
        </is>
      </c>
      <c r="M81" t="inlineStr">
        <is>
          <t>Interpolated between policy anchor years 2027/2030/2034</t>
        </is>
      </c>
      <c r="N81" t="inlineStr">
        <is>
          <t>fixed</t>
        </is>
      </c>
    </row>
    <row r="82">
      <c r="A82" t="inlineStr">
        <is>
          <t>carbon_cost_cem1_2026</t>
        </is>
      </c>
      <c r="B82" t="inlineStr">
        <is>
          <t>EUR/t cement</t>
        </is>
      </c>
      <c r="C82" s="3" t="n">
        <v>10.7</v>
      </c>
      <c r="D82" s="3" t="n">
        <v>14.3</v>
      </c>
      <c r="E82" s="3" t="n">
        <v>17.8</v>
      </c>
      <c r="F82" s="3" t="n">
        <v>2</v>
      </c>
      <c r="G82" s="3" t="n">
        <v>2</v>
      </c>
      <c r="H82">
        <f>INDEX(C82:E82,1,CHOOSE(scenario,F82,2,G82))</f>
        <v/>
      </c>
      <c r="I82" s="7" t="n"/>
      <c r="J82" s="2">
        <f>IF(I82="",H82,I82)</f>
        <v/>
      </c>
      <c r="K82" t="inlineStr">
        <is>
          <t>ESTIMATE</t>
        </is>
      </c>
      <c r="L82" t="inlineStr">
        <is>
          <t>POL-39;POL-41;POL-42;A-POL-05;A-POL-06;A-POL-07;A-POL-08</t>
        </is>
      </c>
      <c r="M82" t="inlineStr">
        <is>
          <t>CEM I: (intensity - 0.656 x CBAM factor) x EUA x clinker share. Base = current law; low = July-2026 proposal (end 2038) + low EUA; high = current law + high EUA</t>
        </is>
      </c>
      <c r="N82" t="inlineStr">
        <is>
          <t>fixed</t>
        </is>
      </c>
    </row>
    <row r="83">
      <c r="A83" t="inlineStr">
        <is>
          <t>carbon_cost_cem1_2027</t>
        </is>
      </c>
      <c r="B83" t="inlineStr">
        <is>
          <t>EUR/t cement</t>
        </is>
      </c>
      <c r="C83" s="3" t="n">
        <v>9.199999999999999</v>
      </c>
      <c r="D83" s="3" t="n">
        <v>16.1</v>
      </c>
      <c r="E83" s="3" t="n">
        <v>23.6</v>
      </c>
      <c r="F83" s="3" t="n">
        <v>2</v>
      </c>
      <c r="G83" s="3" t="n">
        <v>2</v>
      </c>
      <c r="H83">
        <f>INDEX(C83:E83,1,CHOOSE(scenario,F83,2,G83))</f>
        <v/>
      </c>
      <c r="I83" s="7" t="n"/>
      <c r="J83" s="2">
        <f>IF(I83="",H83,I83)</f>
        <v/>
      </c>
      <c r="K83" t="inlineStr">
        <is>
          <t>ESTIMATE</t>
        </is>
      </c>
      <c r="L83" t="inlineStr">
        <is>
          <t>POL-39;POL-41;POL-42;A-POL-05;A-POL-06;A-POL-07;A-POL-08</t>
        </is>
      </c>
      <c r="M83" t="inlineStr">
        <is>
          <t>CEM I: (intensity - 0.656 x CBAM factor) x EUA x clinker share. Base = current law; low = July-2026 proposal (end 2038) + low EUA; high = current law + high EUA</t>
        </is>
      </c>
      <c r="N83" t="inlineStr">
        <is>
          <t>fixed</t>
        </is>
      </c>
    </row>
    <row r="84">
      <c r="A84" t="inlineStr">
        <is>
          <t>carbon_cost_cem1_2028</t>
        </is>
      </c>
      <c r="B84" t="inlineStr">
        <is>
          <t>EUR/t cement</t>
        </is>
      </c>
      <c r="C84" s="3" t="n">
        <v>10.8</v>
      </c>
      <c r="D84" s="3" t="n">
        <v>19.4</v>
      </c>
      <c r="E84" s="3" t="n">
        <v>28.9</v>
      </c>
      <c r="F84" s="3" t="n">
        <v>2</v>
      </c>
      <c r="G84" s="3" t="n">
        <v>2</v>
      </c>
      <c r="H84">
        <f>INDEX(C84:E84,1,CHOOSE(scenario,F84,2,G84))</f>
        <v/>
      </c>
      <c r="I84" s="7" t="n"/>
      <c r="J84" s="2">
        <f>IF(I84="",H84,I84)</f>
        <v/>
      </c>
      <c r="K84" t="inlineStr">
        <is>
          <t>ESTIMATE</t>
        </is>
      </c>
      <c r="L84" t="inlineStr">
        <is>
          <t>POL-39;POL-41;POL-42;A-POL-05;A-POL-06;A-POL-07;A-POL-08</t>
        </is>
      </c>
      <c r="M84" t="inlineStr">
        <is>
          <t>CEM I: (intensity - 0.656 x CBAM factor) x EUA x clinker share. Base = current law; low = July-2026 proposal (end 2038) + low EUA; high = current law + high EUA</t>
        </is>
      </c>
      <c r="N84" t="inlineStr">
        <is>
          <t>fixed</t>
        </is>
      </c>
    </row>
    <row r="85">
      <c r="A85" t="inlineStr">
        <is>
          <t>carbon_cost_cem1_2029</t>
        </is>
      </c>
      <c r="B85" t="inlineStr">
        <is>
          <t>EUR/t cement</t>
        </is>
      </c>
      <c r="C85" s="3" t="n">
        <v>15.2</v>
      </c>
      <c r="D85" s="3" t="n">
        <v>27.5</v>
      </c>
      <c r="E85" s="3" t="n">
        <v>40.8</v>
      </c>
      <c r="F85" s="3" t="n">
        <v>2</v>
      </c>
      <c r="G85" s="3" t="n">
        <v>2</v>
      </c>
      <c r="H85">
        <f>INDEX(C85:E85,1,CHOOSE(scenario,F85,2,G85))</f>
        <v/>
      </c>
      <c r="I85" s="7" t="n"/>
      <c r="J85" s="2">
        <f>IF(I85="",H85,I85)</f>
        <v/>
      </c>
      <c r="K85" t="inlineStr">
        <is>
          <t>ESTIMATE</t>
        </is>
      </c>
      <c r="L85" t="inlineStr">
        <is>
          <t>POL-39;POL-41;POL-42;A-POL-05;A-POL-06;A-POL-07;A-POL-08</t>
        </is>
      </c>
      <c r="M85" t="inlineStr">
        <is>
          <t>CEM I: (intensity - 0.656 x CBAM factor) x EUA x clinker share. Base = current law; low = July-2026 proposal (end 2038) + low EUA; high = current law + high EUA</t>
        </is>
      </c>
      <c r="N85" t="inlineStr">
        <is>
          <t>fixed</t>
        </is>
      </c>
    </row>
    <row r="86">
      <c r="A86" t="inlineStr">
        <is>
          <t>carbon_cost_cem1_2030</t>
        </is>
      </c>
      <c r="B86" t="inlineStr">
        <is>
          <t>EUR/t cement</t>
        </is>
      </c>
      <c r="C86" s="3" t="n">
        <v>24.8</v>
      </c>
      <c r="D86" s="3" t="n">
        <v>44.8</v>
      </c>
      <c r="E86" s="3" t="n">
        <v>64.5</v>
      </c>
      <c r="F86" s="3" t="n">
        <v>2</v>
      </c>
      <c r="G86" s="3" t="n">
        <v>2</v>
      </c>
      <c r="H86">
        <f>INDEX(C86:E86,1,CHOOSE(scenario,F86,2,G86))</f>
        <v/>
      </c>
      <c r="I86" s="7" t="n"/>
      <c r="J86" s="2">
        <f>IF(I86="",H86,I86)</f>
        <v/>
      </c>
      <c r="K86" t="inlineStr">
        <is>
          <t>ESTIMATE</t>
        </is>
      </c>
      <c r="L86" t="inlineStr">
        <is>
          <t>POL-39;POL-41;POL-42;A-POL-05;A-POL-06;A-POL-07;A-POL-08</t>
        </is>
      </c>
      <c r="M86" t="inlineStr">
        <is>
          <t>CEM I: (intensity - 0.656 x CBAM factor) x EUA x clinker share. Base = current law; low = July-2026 proposal (end 2038) + low EUA; high = current law + high EUA</t>
        </is>
      </c>
      <c r="N86" t="inlineStr">
        <is>
          <t>fixed</t>
        </is>
      </c>
    </row>
    <row r="87">
      <c r="A87" t="inlineStr">
        <is>
          <t>carbon_cost_cem1_2031</t>
        </is>
      </c>
      <c r="B87" t="inlineStr">
        <is>
          <t>EUR/t cement</t>
        </is>
      </c>
      <c r="C87" s="3" t="n">
        <v>30.6</v>
      </c>
      <c r="D87" s="3" t="n">
        <v>55.1</v>
      </c>
      <c r="E87" s="3" t="n">
        <v>81.5</v>
      </c>
      <c r="F87" s="3" t="n">
        <v>2</v>
      </c>
      <c r="G87" s="3" t="n">
        <v>2</v>
      </c>
      <c r="H87">
        <f>INDEX(C87:E87,1,CHOOSE(scenario,F87,2,G87))</f>
        <v/>
      </c>
      <c r="I87" s="7" t="n"/>
      <c r="J87" s="2">
        <f>IF(I87="",H87,I87)</f>
        <v/>
      </c>
      <c r="K87" t="inlineStr">
        <is>
          <t>ESTIMATE</t>
        </is>
      </c>
      <c r="L87" t="inlineStr">
        <is>
          <t>POL-39;POL-41;POL-42;A-POL-05;A-POL-06;A-POL-07;A-POL-08</t>
        </is>
      </c>
      <c r="M87" t="inlineStr">
        <is>
          <t>CEM I: (intensity - 0.656 x CBAM factor) x EUA x clinker share. Base = current law; low = July-2026 proposal (end 2038) + low EUA; high = current law + high EUA</t>
        </is>
      </c>
      <c r="N87" t="inlineStr">
        <is>
          <t>fixed</t>
        </is>
      </c>
    </row>
    <row r="88">
      <c r="A88" t="inlineStr">
        <is>
          <t>carbon_cost_cem1_2032</t>
        </is>
      </c>
      <c r="B88" t="inlineStr">
        <is>
          <t>EUR/t cement</t>
        </is>
      </c>
      <c r="C88" s="3" t="n">
        <v>36.5</v>
      </c>
      <c r="D88" s="3" t="n">
        <v>66.7</v>
      </c>
      <c r="E88" s="3" t="n">
        <v>101</v>
      </c>
      <c r="F88" s="3" t="n">
        <v>2</v>
      </c>
      <c r="G88" s="3" t="n">
        <v>2</v>
      </c>
      <c r="H88">
        <f>INDEX(C88:E88,1,CHOOSE(scenario,F88,2,G88))</f>
        <v/>
      </c>
      <c r="I88" s="7" t="n"/>
      <c r="J88" s="2">
        <f>IF(I88="",H88,I88)</f>
        <v/>
      </c>
      <c r="K88" t="inlineStr">
        <is>
          <t>ESTIMATE</t>
        </is>
      </c>
      <c r="L88" t="inlineStr">
        <is>
          <t>POL-39;POL-41;POL-42;A-POL-05;A-POL-06;A-POL-07;A-POL-08</t>
        </is>
      </c>
      <c r="M88" t="inlineStr">
        <is>
          <t>CEM I: (intensity - 0.656 x CBAM factor) x EUA x clinker share. Base = current law; low = July-2026 proposal (end 2038) + low EUA; high = current law + high EUA</t>
        </is>
      </c>
      <c r="N88" t="inlineStr">
        <is>
          <t>fixed</t>
        </is>
      </c>
    </row>
    <row r="89">
      <c r="A89" t="inlineStr">
        <is>
          <t>carbon_cost_cem1_2033</t>
        </is>
      </c>
      <c r="B89" t="inlineStr">
        <is>
          <t>EUR/t cement</t>
        </is>
      </c>
      <c r="C89" s="3" t="n">
        <v>43.4</v>
      </c>
      <c r="D89" s="3" t="n">
        <v>79.90000000000001</v>
      </c>
      <c r="E89" s="3" t="n">
        <v>121.9</v>
      </c>
      <c r="F89" s="3" t="n">
        <v>2</v>
      </c>
      <c r="G89" s="3" t="n">
        <v>2</v>
      </c>
      <c r="H89">
        <f>INDEX(C89:E89,1,CHOOSE(scenario,F89,2,G89))</f>
        <v/>
      </c>
      <c r="I89" s="7" t="n"/>
      <c r="J89" s="2">
        <f>IF(I89="",H89,I89)</f>
        <v/>
      </c>
      <c r="K89" t="inlineStr">
        <is>
          <t>ESTIMATE</t>
        </is>
      </c>
      <c r="L89" t="inlineStr">
        <is>
          <t>POL-39;POL-41;POL-42;A-POL-05;A-POL-06;A-POL-07;A-POL-08</t>
        </is>
      </c>
      <c r="M89" t="inlineStr">
        <is>
          <t>CEM I: (intensity - 0.656 x CBAM factor) x EUA x clinker share. Base = current law; low = July-2026 proposal (end 2038) + low EUA; high = current law + high EUA</t>
        </is>
      </c>
      <c r="N89" t="inlineStr">
        <is>
          <t>fixed</t>
        </is>
      </c>
    </row>
    <row r="90">
      <c r="A90" t="inlineStr">
        <is>
          <t>carbon_cost_cem1_2034</t>
        </is>
      </c>
      <c r="B90" t="inlineStr">
        <is>
          <t>EUR/t cement</t>
        </is>
      </c>
      <c r="C90" s="3" t="n">
        <v>51.1</v>
      </c>
      <c r="D90" s="3" t="n">
        <v>95.3</v>
      </c>
      <c r="E90" s="3" t="n">
        <v>147.1</v>
      </c>
      <c r="F90" s="3" t="n">
        <v>2</v>
      </c>
      <c r="G90" s="3" t="n">
        <v>2</v>
      </c>
      <c r="H90">
        <f>INDEX(C90:E90,1,CHOOSE(scenario,F90,2,G90))</f>
        <v/>
      </c>
      <c r="I90" s="7" t="n"/>
      <c r="J90" s="2">
        <f>IF(I90="",H90,I90)</f>
        <v/>
      </c>
      <c r="K90" t="inlineStr">
        <is>
          <t>ESTIMATE</t>
        </is>
      </c>
      <c r="L90" t="inlineStr">
        <is>
          <t>POL-39;POL-41;POL-42;A-POL-05;A-POL-06;A-POL-07;A-POL-08</t>
        </is>
      </c>
      <c r="M90" t="inlineStr">
        <is>
          <t>CEM I: (intensity - 0.656 x CBAM factor) x EUA x clinker share. Base = current law; low = July-2026 proposal (end 2038) + low EUA; high = current law + high EUA</t>
        </is>
      </c>
      <c r="N90" t="inlineStr">
        <is>
          <t>fixed</t>
        </is>
      </c>
    </row>
    <row r="91">
      <c r="A91" t="inlineStr">
        <is>
          <t>carbon_cost_cem1_2035</t>
        </is>
      </c>
      <c r="B91" t="inlineStr">
        <is>
          <t>EUR/t cement</t>
        </is>
      </c>
      <c r="C91" s="3" t="n">
        <v>54.7</v>
      </c>
      <c r="D91" s="3" t="n">
        <v>95.3</v>
      </c>
      <c r="E91" s="3" t="n">
        <v>147.1</v>
      </c>
      <c r="F91" s="3" t="n">
        <v>2</v>
      </c>
      <c r="G91" s="3" t="n">
        <v>2</v>
      </c>
      <c r="H91">
        <f>INDEX(C91:E91,1,CHOOSE(scenario,F91,2,G91))</f>
        <v/>
      </c>
      <c r="I91" s="7" t="n"/>
      <c r="J91" s="2">
        <f>IF(I91="",H91,I91)</f>
        <v/>
      </c>
      <c r="K91" t="inlineStr">
        <is>
          <t>ESTIMATE</t>
        </is>
      </c>
      <c r="L91" t="inlineStr">
        <is>
          <t>POL-39;POL-41;POL-42;A-POL-05;A-POL-06;A-POL-07;A-POL-08</t>
        </is>
      </c>
      <c r="M91" t="inlineStr">
        <is>
          <t>CEM I: (intensity - 0.656 x CBAM factor) x EUA x clinker share. Base = current law; low = July-2026 proposal (end 2038) + low EUA; high = current law + high EUA</t>
        </is>
      </c>
      <c r="N91" t="inlineStr">
        <is>
          <t>fixed</t>
        </is>
      </c>
    </row>
    <row r="92">
      <c r="A92" t="inlineStr">
        <is>
          <t>carbon_cost_cem1_2036</t>
        </is>
      </c>
      <c r="B92" t="inlineStr">
        <is>
          <t>EUR/t cement</t>
        </is>
      </c>
      <c r="C92" s="3" t="n">
        <v>57.2</v>
      </c>
      <c r="D92" s="3" t="n">
        <v>95.3</v>
      </c>
      <c r="E92" s="3" t="n">
        <v>147.1</v>
      </c>
      <c r="F92" s="3" t="n">
        <v>2</v>
      </c>
      <c r="G92" s="3" t="n">
        <v>2</v>
      </c>
      <c r="H92">
        <f>INDEX(C92:E92,1,CHOOSE(scenario,F92,2,G92))</f>
        <v/>
      </c>
      <c r="I92" s="7" t="n"/>
      <c r="J92" s="2">
        <f>IF(I92="",H92,I92)</f>
        <v/>
      </c>
      <c r="K92" t="inlineStr">
        <is>
          <t>ESTIMATE</t>
        </is>
      </c>
      <c r="L92" t="inlineStr">
        <is>
          <t>POL-39;POL-41;POL-42;A-POL-05;A-POL-06;A-POL-07;A-POL-08</t>
        </is>
      </c>
      <c r="M92" t="inlineStr">
        <is>
          <t>CEM I: (intensity - 0.656 x CBAM factor) x EUA x clinker share. Base = current law; low = July-2026 proposal (end 2038) + low EUA; high = current law + high EUA</t>
        </is>
      </c>
      <c r="N92" t="inlineStr">
        <is>
          <t>fixed</t>
        </is>
      </c>
    </row>
    <row r="93">
      <c r="A93" t="inlineStr">
        <is>
          <t>carbon_cost_cem3b_2026</t>
        </is>
      </c>
      <c r="B93" t="inlineStr">
        <is>
          <t>EUR/t cement</t>
        </is>
      </c>
      <c r="C93" s="3" t="n">
        <v>2.4</v>
      </c>
      <c r="D93" s="3" t="n">
        <v>3.8</v>
      </c>
      <c r="E93" s="3" t="n">
        <v>5.6</v>
      </c>
      <c r="F93" s="3" t="n">
        <v>3</v>
      </c>
      <c r="G93" s="3" t="n">
        <v>1</v>
      </c>
      <c r="H93">
        <f>INDEX(C93:E93,1,CHOOSE(scenario,F93,2,G93))</f>
        <v/>
      </c>
      <c r="I93" s="7" t="n"/>
      <c r="J93" s="2">
        <f>IF(I93="",H93,I93)</f>
        <v/>
      </c>
      <c r="K93" t="inlineStr">
        <is>
          <t>ESTIMATE</t>
        </is>
      </c>
      <c r="L93" t="inlineStr">
        <is>
          <t>POL-39;POL-41;POL-42;A-POL-05;A-POL-06;A-POL-07;A-POL-08</t>
        </is>
      </c>
      <c r="M93" t="inlineStr">
        <is>
          <t>CEM III/B: (intensity - 0.656 x CBAM factor) x EUA x clinker share. Base = current law; low = July-2026 proposal (end 2038) + low EUA; high = current law + high EUA</t>
        </is>
      </c>
      <c r="N93" t="inlineStr">
        <is>
          <t>cost</t>
        </is>
      </c>
    </row>
    <row r="94">
      <c r="A94" t="inlineStr">
        <is>
          <t>carbon_cost_cem3b_2027</t>
        </is>
      </c>
      <c r="B94" t="inlineStr">
        <is>
          <t>EUR/t cement</t>
        </is>
      </c>
      <c r="C94" s="3" t="n">
        <v>2</v>
      </c>
      <c r="D94" s="3" t="n">
        <v>4.3</v>
      </c>
      <c r="E94" s="3" t="n">
        <v>7.5</v>
      </c>
      <c r="F94" s="3" t="n">
        <v>3</v>
      </c>
      <c r="G94" s="3" t="n">
        <v>1</v>
      </c>
      <c r="H94">
        <f>INDEX(C94:E94,1,CHOOSE(scenario,F94,2,G94))</f>
        <v/>
      </c>
      <c r="I94" s="7" t="n"/>
      <c r="J94" s="2">
        <f>IF(I94="",H94,I94)</f>
        <v/>
      </c>
      <c r="K94" t="inlineStr">
        <is>
          <t>ESTIMATE</t>
        </is>
      </c>
      <c r="L94" t="inlineStr">
        <is>
          <t>POL-39;POL-41;POL-42;A-POL-05;A-POL-06;A-POL-07;A-POL-08</t>
        </is>
      </c>
      <c r="M94" t="inlineStr">
        <is>
          <t>CEM III/B: (intensity - 0.656 x CBAM factor) x EUA x clinker share. Base = current law; low = July-2026 proposal (end 2038) + low EUA; high = current law + high EUA</t>
        </is>
      </c>
      <c r="N94" t="inlineStr">
        <is>
          <t>cost</t>
        </is>
      </c>
    </row>
    <row r="95">
      <c r="A95" t="inlineStr">
        <is>
          <t>carbon_cost_cem3b_2028</t>
        </is>
      </c>
      <c r="B95" t="inlineStr">
        <is>
          <t>EUR/t cement</t>
        </is>
      </c>
      <c r="C95" s="3" t="n">
        <v>2.4</v>
      </c>
      <c r="D95" s="3" t="n">
        <v>5.2</v>
      </c>
      <c r="E95" s="3" t="n">
        <v>9.1</v>
      </c>
      <c r="F95" s="3" t="n">
        <v>3</v>
      </c>
      <c r="G95" s="3" t="n">
        <v>1</v>
      </c>
      <c r="H95">
        <f>INDEX(C95:E95,1,CHOOSE(scenario,F95,2,G95))</f>
        <v/>
      </c>
      <c r="I95" s="7" t="n"/>
      <c r="J95" s="2">
        <f>IF(I95="",H95,I95)</f>
        <v/>
      </c>
      <c r="K95" t="inlineStr">
        <is>
          <t>ESTIMATE</t>
        </is>
      </c>
      <c r="L95" t="inlineStr">
        <is>
          <t>POL-39;POL-41;POL-42;A-POL-05;A-POL-06;A-POL-07;A-POL-08</t>
        </is>
      </c>
      <c r="M95" t="inlineStr">
        <is>
          <t>CEM III/B: (intensity - 0.656 x CBAM factor) x EUA x clinker share. Base = current law; low = July-2026 proposal (end 2038) + low EUA; high = current law + high EUA</t>
        </is>
      </c>
      <c r="N95" t="inlineStr">
        <is>
          <t>cost</t>
        </is>
      </c>
    </row>
    <row r="96">
      <c r="A96" t="inlineStr">
        <is>
          <t>carbon_cost_cem3b_2029</t>
        </is>
      </c>
      <c r="B96" t="inlineStr">
        <is>
          <t>EUR/t cement</t>
        </is>
      </c>
      <c r="C96" s="3" t="n">
        <v>3.4</v>
      </c>
      <c r="D96" s="3" t="n">
        <v>7.4</v>
      </c>
      <c r="E96" s="3" t="n">
        <v>12.9</v>
      </c>
      <c r="F96" s="3" t="n">
        <v>3</v>
      </c>
      <c r="G96" s="3" t="n">
        <v>1</v>
      </c>
      <c r="H96">
        <f>INDEX(C96:E96,1,CHOOSE(scenario,F96,2,G96))</f>
        <v/>
      </c>
      <c r="I96" s="7" t="n"/>
      <c r="J96" s="2">
        <f>IF(I96="",H96,I96)</f>
        <v/>
      </c>
      <c r="K96" t="inlineStr">
        <is>
          <t>ESTIMATE</t>
        </is>
      </c>
      <c r="L96" t="inlineStr">
        <is>
          <t>POL-39;POL-41;POL-42;A-POL-05;A-POL-06;A-POL-07;A-POL-08</t>
        </is>
      </c>
      <c r="M96" t="inlineStr">
        <is>
          <t>CEM III/B: (intensity - 0.656 x CBAM factor) x EUA x clinker share. Base = current law; low = July-2026 proposal (end 2038) + low EUA; high = current law + high EUA</t>
        </is>
      </c>
      <c r="N96" t="inlineStr">
        <is>
          <t>cost</t>
        </is>
      </c>
    </row>
    <row r="97">
      <c r="A97" t="inlineStr">
        <is>
          <t>carbon_cost_cem3b_2030</t>
        </is>
      </c>
      <c r="B97" t="inlineStr">
        <is>
          <t>EUR/t cement</t>
        </is>
      </c>
      <c r="C97" s="3" t="n">
        <v>5.5</v>
      </c>
      <c r="D97" s="3" t="n">
        <v>12.1</v>
      </c>
      <c r="E97" s="3" t="n">
        <v>20.4</v>
      </c>
      <c r="F97" s="3" t="n">
        <v>3</v>
      </c>
      <c r="G97" s="3" t="n">
        <v>1</v>
      </c>
      <c r="H97">
        <f>INDEX(C97:E97,1,CHOOSE(scenario,F97,2,G97))</f>
        <v/>
      </c>
      <c r="I97" s="7" t="n"/>
      <c r="J97" s="2">
        <f>IF(I97="",H97,I97)</f>
        <v/>
      </c>
      <c r="K97" t="inlineStr">
        <is>
          <t>ESTIMATE</t>
        </is>
      </c>
      <c r="L97" t="inlineStr">
        <is>
          <t>POL-39;POL-41;POL-42;A-POL-05;A-POL-06;A-POL-07;A-POL-08</t>
        </is>
      </c>
      <c r="M97" t="inlineStr">
        <is>
          <t>CEM III/B: (intensity - 0.656 x CBAM factor) x EUA x clinker share. Base = current law; low = July-2026 proposal (end 2038) + low EUA; high = current law + high EUA</t>
        </is>
      </c>
      <c r="N97" t="inlineStr">
        <is>
          <t>cost</t>
        </is>
      </c>
    </row>
    <row r="98">
      <c r="A98" t="inlineStr">
        <is>
          <t>carbon_cost_cem3b_2031</t>
        </is>
      </c>
      <c r="B98" t="inlineStr">
        <is>
          <t>EUR/t cement</t>
        </is>
      </c>
      <c r="C98" s="3" t="n">
        <v>6.8</v>
      </c>
      <c r="D98" s="3" t="n">
        <v>14.8</v>
      </c>
      <c r="E98" s="3" t="n">
        <v>25.7</v>
      </c>
      <c r="F98" s="3" t="n">
        <v>3</v>
      </c>
      <c r="G98" s="3" t="n">
        <v>1</v>
      </c>
      <c r="H98">
        <f>INDEX(C98:E98,1,CHOOSE(scenario,F98,2,G98))</f>
        <v/>
      </c>
      <c r="I98" s="7" t="n"/>
      <c r="J98" s="2">
        <f>IF(I98="",H98,I98)</f>
        <v/>
      </c>
      <c r="K98" t="inlineStr">
        <is>
          <t>ESTIMATE</t>
        </is>
      </c>
      <c r="L98" t="inlineStr">
        <is>
          <t>POL-39;POL-41;POL-42;A-POL-05;A-POL-06;A-POL-07;A-POL-08</t>
        </is>
      </c>
      <c r="M98" t="inlineStr">
        <is>
          <t>CEM III/B: (intensity - 0.656 x CBAM factor) x EUA x clinker share. Base = current law; low = July-2026 proposal (end 2038) + low EUA; high = current law + high EUA</t>
        </is>
      </c>
      <c r="N98" t="inlineStr">
        <is>
          <t>cost</t>
        </is>
      </c>
    </row>
    <row r="99">
      <c r="A99" t="inlineStr">
        <is>
          <t>carbon_cost_cem3b_2032</t>
        </is>
      </c>
      <c r="B99" t="inlineStr">
        <is>
          <t>EUR/t cement</t>
        </is>
      </c>
      <c r="C99" s="3" t="n">
        <v>8.1</v>
      </c>
      <c r="D99" s="3" t="n">
        <v>17.9</v>
      </c>
      <c r="E99" s="3" t="n">
        <v>31.9</v>
      </c>
      <c r="F99" s="3" t="n">
        <v>3</v>
      </c>
      <c r="G99" s="3" t="n">
        <v>1</v>
      </c>
      <c r="H99">
        <f>INDEX(C99:E99,1,CHOOSE(scenario,F99,2,G99))</f>
        <v/>
      </c>
      <c r="I99" s="7" t="n"/>
      <c r="J99" s="2">
        <f>IF(I99="",H99,I99)</f>
        <v/>
      </c>
      <c r="K99" t="inlineStr">
        <is>
          <t>ESTIMATE</t>
        </is>
      </c>
      <c r="L99" t="inlineStr">
        <is>
          <t>POL-39;POL-41;POL-42;A-POL-05;A-POL-06;A-POL-07;A-POL-08</t>
        </is>
      </c>
      <c r="M99" t="inlineStr">
        <is>
          <t>CEM III/B: (intensity - 0.656 x CBAM factor) x EUA x clinker share. Base = current law; low = July-2026 proposal (end 2038) + low EUA; high = current law + high EUA</t>
        </is>
      </c>
      <c r="N99" t="inlineStr">
        <is>
          <t>cost</t>
        </is>
      </c>
    </row>
    <row r="100">
      <c r="A100" t="inlineStr">
        <is>
          <t>carbon_cost_cem3b_2033</t>
        </is>
      </c>
      <c r="B100" t="inlineStr">
        <is>
          <t>EUR/t cement</t>
        </is>
      </c>
      <c r="C100" s="3" t="n">
        <v>9.6</v>
      </c>
      <c r="D100" s="3" t="n">
        <v>21.5</v>
      </c>
      <c r="E100" s="3" t="n">
        <v>38.5</v>
      </c>
      <c r="F100" s="3" t="n">
        <v>3</v>
      </c>
      <c r="G100" s="3" t="n">
        <v>1</v>
      </c>
      <c r="H100">
        <f>INDEX(C100:E100,1,CHOOSE(scenario,F100,2,G100))</f>
        <v/>
      </c>
      <c r="I100" s="7" t="n"/>
      <c r="J100" s="2">
        <f>IF(I100="",H100,I100)</f>
        <v/>
      </c>
      <c r="K100" t="inlineStr">
        <is>
          <t>ESTIMATE</t>
        </is>
      </c>
      <c r="L100" t="inlineStr">
        <is>
          <t>POL-39;POL-41;POL-42;A-POL-05;A-POL-06;A-POL-07;A-POL-08</t>
        </is>
      </c>
      <c r="M100" t="inlineStr">
        <is>
          <t>CEM III/B: (intensity - 0.656 x CBAM factor) x EUA x clinker share. Base = current law; low = July-2026 proposal (end 2038) + low EUA; high = current law + high EUA</t>
        </is>
      </c>
      <c r="N100" t="inlineStr">
        <is>
          <t>cost</t>
        </is>
      </c>
    </row>
    <row r="101">
      <c r="A101" t="inlineStr">
        <is>
          <t>carbon_cost_cem3b_2034</t>
        </is>
      </c>
      <c r="B101" t="inlineStr">
        <is>
          <t>EUR/t cement</t>
        </is>
      </c>
      <c r="C101" s="3" t="n">
        <v>11.4</v>
      </c>
      <c r="D101" s="3" t="n">
        <v>25.6</v>
      </c>
      <c r="E101" s="3" t="n">
        <v>46.4</v>
      </c>
      <c r="F101" s="3" t="n">
        <v>3</v>
      </c>
      <c r="G101" s="3" t="n">
        <v>1</v>
      </c>
      <c r="H101">
        <f>INDEX(C101:E101,1,CHOOSE(scenario,F101,2,G101))</f>
        <v/>
      </c>
      <c r="I101" s="7" t="n"/>
      <c r="J101" s="2">
        <f>IF(I101="",H101,I101)</f>
        <v/>
      </c>
      <c r="K101" t="inlineStr">
        <is>
          <t>ESTIMATE</t>
        </is>
      </c>
      <c r="L101" t="inlineStr">
        <is>
          <t>POL-39;POL-41;POL-42;A-POL-05;A-POL-06;A-POL-07;A-POL-08</t>
        </is>
      </c>
      <c r="M101" t="inlineStr">
        <is>
          <t>CEM III/B: (intensity - 0.656 x CBAM factor) x EUA x clinker share. Base = current law; low = July-2026 proposal (end 2038) + low EUA; high = current law + high EUA</t>
        </is>
      </c>
      <c r="N101" t="inlineStr">
        <is>
          <t>cost</t>
        </is>
      </c>
    </row>
    <row r="102">
      <c r="A102" t="inlineStr">
        <is>
          <t>carbon_cost_cem3b_2035</t>
        </is>
      </c>
      <c r="B102" t="inlineStr">
        <is>
          <t>EUR/t cement</t>
        </is>
      </c>
      <c r="C102" s="3" t="n">
        <v>12.1</v>
      </c>
      <c r="D102" s="3" t="n">
        <v>25.6</v>
      </c>
      <c r="E102" s="3" t="n">
        <v>46.4</v>
      </c>
      <c r="F102" s="3" t="n">
        <v>3</v>
      </c>
      <c r="G102" s="3" t="n">
        <v>1</v>
      </c>
      <c r="H102">
        <f>INDEX(C102:E102,1,CHOOSE(scenario,F102,2,G102))</f>
        <v/>
      </c>
      <c r="I102" s="7" t="n"/>
      <c r="J102" s="2">
        <f>IF(I102="",H102,I102)</f>
        <v/>
      </c>
      <c r="K102" t="inlineStr">
        <is>
          <t>ESTIMATE</t>
        </is>
      </c>
      <c r="L102" t="inlineStr">
        <is>
          <t>POL-39;POL-41;POL-42;A-POL-05;A-POL-06;A-POL-07;A-POL-08</t>
        </is>
      </c>
      <c r="M102" t="inlineStr">
        <is>
          <t>CEM III/B: (intensity - 0.656 x CBAM factor) x EUA x clinker share. Base = current law; low = July-2026 proposal (end 2038) + low EUA; high = current law + high EUA</t>
        </is>
      </c>
      <c r="N102" t="inlineStr">
        <is>
          <t>cost</t>
        </is>
      </c>
    </row>
    <row r="103">
      <c r="A103" t="inlineStr">
        <is>
          <t>carbon_cost_cem3b_2036</t>
        </is>
      </c>
      <c r="B103" t="inlineStr">
        <is>
          <t>EUR/t cement</t>
        </is>
      </c>
      <c r="C103" s="3" t="n">
        <v>12.7</v>
      </c>
      <c r="D103" s="3" t="n">
        <v>25.6</v>
      </c>
      <c r="E103" s="3" t="n">
        <v>46.4</v>
      </c>
      <c r="F103" s="3" t="n">
        <v>3</v>
      </c>
      <c r="G103" s="3" t="n">
        <v>1</v>
      </c>
      <c r="H103">
        <f>INDEX(C103:E103,1,CHOOSE(scenario,F103,2,G103))</f>
        <v/>
      </c>
      <c r="I103" s="7" t="n"/>
      <c r="J103" s="2">
        <f>IF(I103="",H103,I103)</f>
        <v/>
      </c>
      <c r="K103" t="inlineStr">
        <is>
          <t>ESTIMATE</t>
        </is>
      </c>
      <c r="L103" t="inlineStr">
        <is>
          <t>POL-39;POL-41;POL-42;A-POL-05;A-POL-06;A-POL-07;A-POL-08</t>
        </is>
      </c>
      <c r="M103" t="inlineStr">
        <is>
          <t>CEM III/B: (intensity - 0.656 x CBAM factor) x EUA x clinker share. Base = current law; low = July-2026 proposal (end 2038) + low EUA; high = current law + high EUA</t>
        </is>
      </c>
      <c r="N103" t="inlineStr">
        <is>
          <t>cost</t>
        </is>
      </c>
    </row>
    <row r="104">
      <c r="A104" t="inlineStr">
        <is>
          <t>price_gravel_delivered</t>
        </is>
      </c>
      <c r="B104" t="inlineStr">
        <is>
          <t>EUR/t</t>
        </is>
      </c>
      <c r="C104" s="3" t="n">
        <v>25</v>
      </c>
      <c r="D104" s="3" t="n">
        <v>32</v>
      </c>
      <c r="E104" s="3" t="n">
        <v>40</v>
      </c>
      <c r="F104" s="3" t="n">
        <v>3</v>
      </c>
      <c r="G104" s="3" t="n">
        <v>1</v>
      </c>
      <c r="H104">
        <f>INDEX(C104:E104,1,CHOOSE(scenario,F104,2,G104))</f>
        <v/>
      </c>
      <c r="I104" s="7" t="n"/>
      <c r="J104" s="2">
        <f>IF(I104="",H104,I104)</f>
        <v/>
      </c>
      <c r="K104" t="inlineStr">
        <is>
          <t>ASSUMPTION</t>
        </is>
      </c>
      <c r="L104" t="inlineStr">
        <is>
          <t>A-MKT-11</t>
        </is>
      </c>
      <c r="M104" t="inlineStr">
        <is>
          <t>By barge to waterside plant. Truck-fed site: +EUR 5-8/t</t>
        </is>
      </c>
      <c r="N104" t="inlineStr">
        <is>
          <t>cost</t>
        </is>
      </c>
    </row>
    <row r="105">
      <c r="A105" t="inlineStr">
        <is>
          <t>price_sand_delivered</t>
        </is>
      </c>
      <c r="B105" t="inlineStr">
        <is>
          <t>EUR/t</t>
        </is>
      </c>
      <c r="C105" s="3" t="n">
        <v>14</v>
      </c>
      <c r="D105" s="3" t="n">
        <v>19</v>
      </c>
      <c r="E105" s="3" t="n">
        <v>25</v>
      </c>
      <c r="F105" s="3" t="n">
        <v>3</v>
      </c>
      <c r="G105" s="3" t="n">
        <v>1</v>
      </c>
      <c r="H105">
        <f>INDEX(C105:E105,1,CHOOSE(scenario,F105,2,G105))</f>
        <v/>
      </c>
      <c r="I105" s="7" t="n"/>
      <c r="J105" s="2">
        <f>IF(I105="",H105,I105)</f>
        <v/>
      </c>
      <c r="K105" t="inlineStr">
        <is>
          <t>ASSUMPTION</t>
        </is>
      </c>
      <c r="L105" t="inlineStr">
        <is>
          <t>A-MKT-12</t>
        </is>
      </c>
      <c r="M105" t="inlineStr">
        <is>
          <t>By barge</t>
        </is>
      </c>
      <c r="N105" t="inlineStr">
        <is>
          <t>cost</t>
        </is>
      </c>
    </row>
    <row r="106">
      <c r="A106" t="inlineStr">
        <is>
          <t>price_rca_coarse_exworks</t>
        </is>
      </c>
      <c r="B106" t="inlineStr">
        <is>
          <t>EUR/t</t>
        </is>
      </c>
      <c r="C106" s="3" t="n">
        <v>10</v>
      </c>
      <c r="D106" s="3" t="n">
        <v>15</v>
      </c>
      <c r="E106" s="3" t="n">
        <v>25</v>
      </c>
      <c r="F106" s="3" t="n">
        <v>3</v>
      </c>
      <c r="G106" s="3" t="n">
        <v>1</v>
      </c>
      <c r="H106">
        <f>INDEX(C106:E106,1,CHOOSE(scenario,F106,2,G106))</f>
        <v/>
      </c>
      <c r="I106" s="7" t="n"/>
      <c r="J106" s="2">
        <f>IF(I106="",H106,I106)</f>
        <v/>
      </c>
      <c r="K106" t="inlineStr">
        <is>
          <t>ASSUMPTION</t>
        </is>
      </c>
      <c r="L106" t="inlineStr">
        <is>
          <t>A-MKT-13;MKT-20</t>
        </is>
      </c>
      <c r="M106" t="inlineStr">
        <is>
          <t>Certified BRL 2506-1 Type A1</t>
        </is>
      </c>
      <c r="N106" t="inlineStr">
        <is>
          <t>cost</t>
        </is>
      </c>
    </row>
    <row r="107">
      <c r="A107" t="inlineStr">
        <is>
          <t>rca_transport_distance</t>
        </is>
      </c>
      <c r="B107" t="inlineStr">
        <is>
          <t>km</t>
        </is>
      </c>
      <c r="C107" s="3" t="n">
        <v>15</v>
      </c>
      <c r="D107" s="3" t="n">
        <v>30</v>
      </c>
      <c r="E107" s="3" t="n">
        <v>50</v>
      </c>
      <c r="F107" s="3" t="n">
        <v>3</v>
      </c>
      <c r="G107" s="3" t="n">
        <v>1</v>
      </c>
      <c r="H107">
        <f>INDEX(C107:E107,1,CHOOSE(scenario,F107,2,G107))</f>
        <v/>
      </c>
      <c r="I107" s="7" t="n"/>
      <c r="J107" s="2">
        <f>IF(I107="",H107,I107)</f>
        <v/>
      </c>
      <c r="K107" t="inlineStr">
        <is>
          <t>ASSUMPTION</t>
        </is>
      </c>
      <c r="L107" t="inlineStr">
        <is>
          <t>A-CST-14</t>
        </is>
      </c>
      <c r="M107" t="inlineStr">
        <is>
          <t>Crusher to plant, one way, truck</t>
        </is>
      </c>
      <c r="N107" t="inlineStr">
        <is>
          <t>cost</t>
        </is>
      </c>
    </row>
    <row r="108">
      <c r="A108" t="inlineStr">
        <is>
          <t>road_haulage_rate</t>
        </is>
      </c>
      <c r="B108" t="inlineStr">
        <is>
          <t>EUR/t.km</t>
        </is>
      </c>
      <c r="C108" s="3" t="n">
        <v>0.18</v>
      </c>
      <c r="D108" s="3" t="n">
        <v>0.25</v>
      </c>
      <c r="E108" s="3" t="n">
        <v>0.35</v>
      </c>
      <c r="F108" s="3" t="n">
        <v>3</v>
      </c>
      <c r="G108" s="3" t="n">
        <v>1</v>
      </c>
      <c r="H108">
        <f>INDEX(C108:E108,1,CHOOSE(scenario,F108,2,G108))</f>
        <v/>
      </c>
      <c r="I108" s="7" t="n"/>
      <c r="J108" s="2">
        <f>IF(I108="",H108,I108)</f>
        <v/>
      </c>
      <c r="K108" t="inlineStr">
        <is>
          <t>ESTIMATE</t>
        </is>
      </c>
      <c r="L108" t="inlineStr">
        <is>
          <t>A-TEC-32;TEC-41</t>
        </is>
      </c>
      <c r="M108" t="inlineStr">
        <is>
          <t>Full load per loaded km</t>
        </is>
      </c>
      <c r="N108" t="inlineStr">
        <is>
          <t>cost</t>
        </is>
      </c>
    </row>
    <row r="109">
      <c r="A109" t="inlineStr">
        <is>
          <t>road_handling_per_t</t>
        </is>
      </c>
      <c r="B109" t="inlineStr">
        <is>
          <t>EUR/t</t>
        </is>
      </c>
      <c r="C109" s="3" t="n">
        <v>1.5</v>
      </c>
      <c r="D109" s="3" t="n">
        <v>2</v>
      </c>
      <c r="E109" s="3" t="n">
        <v>3</v>
      </c>
      <c r="F109" s="3" t="n">
        <v>3</v>
      </c>
      <c r="G109" s="3" t="n">
        <v>1</v>
      </c>
      <c r="H109">
        <f>INDEX(C109:E109,1,CHOOSE(scenario,F109,2,G109))</f>
        <v/>
      </c>
      <c r="I109" s="7" t="n"/>
      <c r="J109" s="2">
        <f>IF(I109="",H109,I109)</f>
        <v/>
      </c>
      <c r="K109" t="inlineStr">
        <is>
          <t>ESTIMATE</t>
        </is>
      </c>
      <c r="L109" t="inlineStr">
        <is>
          <t>A-TEC-32</t>
        </is>
      </c>
      <c r="M109" t="inlineStr"/>
      <c r="N109" t="inlineStr">
        <is>
          <t>cost</t>
        </is>
      </c>
    </row>
    <row r="110">
      <c r="A110" t="inlineStr">
        <is>
          <t>price_rca_coarse_delivered</t>
        </is>
      </c>
      <c r="B110" t="inlineStr">
        <is>
          <t>EUR/t</t>
        </is>
      </c>
      <c r="C110" s="3" t="n">
        <v>14.2</v>
      </c>
      <c r="D110" s="3" t="n">
        <v>24.5</v>
      </c>
      <c r="E110" s="3" t="n">
        <v>45.5</v>
      </c>
      <c r="F110" s="3" t="n">
        <v>2</v>
      </c>
      <c r="G110" s="3" t="n">
        <v>2</v>
      </c>
      <c r="H110">
        <f>INDEX(C110:E110,1,CHOOSE(scenario,F110,2,G110))</f>
        <v/>
      </c>
      <c r="I110" s="7" t="n"/>
      <c r="J110" s="2">
        <f>IF(I110="",H110,I110)</f>
        <v/>
      </c>
      <c r="K110" t="inlineStr">
        <is>
          <t>ESTIMATE</t>
        </is>
      </c>
      <c r="L110" t="inlineStr">
        <is>
          <t>derived</t>
        </is>
      </c>
      <c r="M110">
        <f> ex-works + km x rate + handling. Breakeven vs gravel EUR 32: ~EUR 29/t delivered (before premium)</f>
        <v/>
      </c>
      <c r="N110" t="inlineStr">
        <is>
          <t>fixed</t>
        </is>
      </c>
    </row>
    <row r="111">
      <c r="A111" t="inlineStr">
        <is>
          <t>barge_rate</t>
        </is>
      </c>
      <c r="B111" t="inlineStr">
        <is>
          <t>EUR/t.km</t>
        </is>
      </c>
      <c r="C111" s="3" t="n">
        <v>0.015</v>
      </c>
      <c r="D111" s="3" t="n">
        <v>0.03</v>
      </c>
      <c r="E111" s="3" t="n">
        <v>0.05</v>
      </c>
      <c r="F111" s="3" t="n">
        <v>2</v>
      </c>
      <c r="G111" s="3" t="n">
        <v>2</v>
      </c>
      <c r="H111">
        <f>INDEX(C111:E111,1,CHOOSE(scenario,F111,2,G111))</f>
        <v/>
      </c>
      <c r="I111" s="7" t="n"/>
      <c r="J111" s="2">
        <f>IF(I111="",H111,I111)</f>
        <v/>
      </c>
      <c r="K111" t="inlineStr">
        <is>
          <t>ESTIMATE</t>
        </is>
      </c>
      <c r="L111" t="inlineStr">
        <is>
          <t>A-TEC-33;TEC-41</t>
        </is>
      </c>
      <c r="M111" t="inlineStr">
        <is>
          <t>Option: RCA from waterside crushers</t>
        </is>
      </c>
      <c r="N111" t="inlineStr">
        <is>
          <t>fixed</t>
        </is>
      </c>
    </row>
    <row r="112">
      <c r="A112" t="inlineStr">
        <is>
          <t>barge_transshipment_per_t</t>
        </is>
      </c>
      <c r="B112" t="inlineStr">
        <is>
          <t>EUR/t</t>
        </is>
      </c>
      <c r="C112" s="3" t="n">
        <v>1.5</v>
      </c>
      <c r="D112" s="3" t="n">
        <v>2.5</v>
      </c>
      <c r="E112" s="3" t="n">
        <v>4</v>
      </c>
      <c r="F112" s="3" t="n">
        <v>2</v>
      </c>
      <c r="G112" s="3" t="n">
        <v>2</v>
      </c>
      <c r="H112">
        <f>INDEX(C112:E112,1,CHOOSE(scenario,F112,2,G112))</f>
        <v/>
      </c>
      <c r="I112" s="7" t="n"/>
      <c r="J112" s="2">
        <f>IF(I112="",H112,I112)</f>
        <v/>
      </c>
      <c r="K112" t="inlineStr">
        <is>
          <t>ESTIMATE</t>
        </is>
      </c>
      <c r="L112" t="inlineStr">
        <is>
          <t>A-TEC-33</t>
        </is>
      </c>
      <c r="M112" t="inlineStr"/>
      <c r="N112" t="inlineStr">
        <is>
          <t>fixed</t>
        </is>
      </c>
    </row>
    <row r="113">
      <c r="A113" t="inlineStr">
        <is>
          <t>price_rca_fine_exworks</t>
        </is>
      </c>
      <c r="B113" t="inlineStr">
        <is>
          <t>EUR/t</t>
        </is>
      </c>
      <c r="C113" s="3" t="n">
        <v>3</v>
      </c>
      <c r="D113" s="3" t="n">
        <v>8</v>
      </c>
      <c r="E113" s="3" t="n">
        <v>15</v>
      </c>
      <c r="F113" s="3" t="n">
        <v>3</v>
      </c>
      <c r="G113" s="3" t="n">
        <v>1</v>
      </c>
      <c r="H113">
        <f>INDEX(C113:E113,1,CHOOSE(scenario,F113,2,G113))</f>
        <v/>
      </c>
      <c r="I113" s="7" t="n"/>
      <c r="J113" s="2">
        <f>IF(I113="",H113,I113)</f>
        <v/>
      </c>
      <c r="K113" t="inlineStr">
        <is>
          <t>ASSUMPTION</t>
        </is>
      </c>
      <c r="L113" t="inlineStr">
        <is>
          <t>A-CST-15</t>
        </is>
      </c>
      <c r="M113" t="inlineStr">
        <is>
          <t>Certified recycled 0/4; thin market</t>
        </is>
      </c>
      <c r="N113" t="inlineStr">
        <is>
          <t>cost</t>
        </is>
      </c>
    </row>
    <row r="114">
      <c r="A114" t="inlineStr">
        <is>
          <t>price_superplasticiser</t>
        </is>
      </c>
      <c r="B114" t="inlineStr">
        <is>
          <t>EUR/kg</t>
        </is>
      </c>
      <c r="C114" s="3" t="n">
        <v>1</v>
      </c>
      <c r="D114" s="3" t="n">
        <v>1.4</v>
      </c>
      <c r="E114" s="3" t="n">
        <v>2</v>
      </c>
      <c r="F114" s="3" t="n">
        <v>3</v>
      </c>
      <c r="G114" s="3" t="n">
        <v>1</v>
      </c>
      <c r="H114">
        <f>INDEX(C114:E114,1,CHOOSE(scenario,F114,2,G114))</f>
        <v/>
      </c>
      <c r="I114" s="7" t="n"/>
      <c r="J114" s="2">
        <f>IF(I114="",H114,I114)</f>
        <v/>
      </c>
      <c r="K114" t="inlineStr">
        <is>
          <t>ASSUMPTION</t>
        </is>
      </c>
      <c r="L114" t="inlineStr">
        <is>
          <t>CST-11;CST-13;A-CST-10</t>
        </is>
      </c>
      <c r="M114" t="inlineStr">
        <is>
          <t>Liquid PCE, bulk</t>
        </is>
      </c>
      <c r="N114" t="inlineStr">
        <is>
          <t>cost</t>
        </is>
      </c>
    </row>
    <row r="115">
      <c r="A115" t="inlineStr">
        <is>
          <t>price_water</t>
        </is>
      </c>
      <c r="B115" t="inlineStr">
        <is>
          <t>EUR/m3</t>
        </is>
      </c>
      <c r="C115" s="3" t="n">
        <v>0.8</v>
      </c>
      <c r="D115" s="3" t="n">
        <v>1.2</v>
      </c>
      <c r="E115" s="3" t="n">
        <v>2</v>
      </c>
      <c r="F115" s="3" t="n">
        <v>3</v>
      </c>
      <c r="G115" s="3" t="n">
        <v>1</v>
      </c>
      <c r="H115">
        <f>INDEX(C115:E115,1,CHOOSE(scenario,F115,2,G115))</f>
        <v/>
      </c>
      <c r="I115" s="7" t="n"/>
      <c r="J115" s="2">
        <f>IF(I115="",H115,I115)</f>
        <v/>
      </c>
      <c r="K115" t="inlineStr">
        <is>
          <t>ASSUMPTION</t>
        </is>
      </c>
      <c r="L115" t="inlineStr">
        <is>
          <t>A-CST-16</t>
        </is>
      </c>
      <c r="M115" t="inlineStr">
        <is>
          <t>Mains/ground water; part from recycled wash water</t>
        </is>
      </c>
      <c r="N115" t="inlineStr">
        <is>
          <t>cost</t>
        </is>
      </c>
    </row>
    <row r="116">
      <c r="A116" t="inlineStr">
        <is>
          <t>rca_lot_testing</t>
        </is>
      </c>
      <c r="B116" t="inlineStr">
        <is>
          <t>EUR/t RCA</t>
        </is>
      </c>
      <c r="C116" s="3" t="n">
        <v>0.5</v>
      </c>
      <c r="D116" s="3" t="n">
        <v>0.8</v>
      </c>
      <c r="E116" s="3" t="n">
        <v>1.5</v>
      </c>
      <c r="F116" s="3" t="n">
        <v>3</v>
      </c>
      <c r="G116" s="3" t="n">
        <v>1</v>
      </c>
      <c r="H116">
        <f>INDEX(C116:E116,1,CHOOSE(scenario,F116,2,G116))</f>
        <v/>
      </c>
      <c r="I116" s="7" t="n"/>
      <c r="J116" s="2">
        <f>IF(I116="",H116,I116)</f>
        <v/>
      </c>
      <c r="K116" t="inlineStr">
        <is>
          <t>ASSUMPTION</t>
        </is>
      </c>
      <c r="L116" t="inlineStr">
        <is>
          <t>A-CST-17</t>
        </is>
      </c>
      <c r="M116" t="inlineStr">
        <is>
          <t>Density/WA, EN 933-11, sulphate/chloride per ~500 t lot</t>
        </is>
      </c>
      <c r="N116" t="inlineStr">
        <is>
          <t>cost</t>
        </is>
      </c>
    </row>
    <row r="117">
      <c r="A117" t="inlineStr">
        <is>
          <t>rca_handling_prewetting</t>
        </is>
      </c>
      <c r="B117" t="inlineStr">
        <is>
          <t>EUR/t RCA</t>
        </is>
      </c>
      <c r="C117" s="3" t="n">
        <v>0.5</v>
      </c>
      <c r="D117" s="3" t="n">
        <v>1</v>
      </c>
      <c r="E117" s="3" t="n">
        <v>2</v>
      </c>
      <c r="F117" s="3" t="n">
        <v>3</v>
      </c>
      <c r="G117" s="3" t="n">
        <v>1</v>
      </c>
      <c r="H117">
        <f>INDEX(C117:E117,1,CHOOSE(scenario,F117,2,G117))</f>
        <v/>
      </c>
      <c r="I117" s="7" t="n"/>
      <c r="J117" s="2">
        <f>IF(I117="",H117,I117)</f>
        <v/>
      </c>
      <c r="K117" t="inlineStr">
        <is>
          <t>ASSUMPTION</t>
        </is>
      </c>
      <c r="L117" t="inlineStr">
        <is>
          <t>A-CST-18</t>
        </is>
      </c>
      <c r="M117" t="inlineStr">
        <is>
          <t>Separate bins per source, sprinkling, extra loader moves, moisture control</t>
        </is>
      </c>
      <c r="N117" t="inlineStr">
        <is>
          <t>cost</t>
        </is>
      </c>
    </row>
    <row r="118">
      <c r="A118" t="inlineStr">
        <is>
          <t>electricity_use</t>
        </is>
      </c>
      <c r="B118" t="inlineStr">
        <is>
          <t>kWh/m3</t>
        </is>
      </c>
      <c r="C118" s="3" t="n">
        <v>3.5</v>
      </c>
      <c r="D118" s="3" t="n">
        <v>3.6</v>
      </c>
      <c r="E118" s="3" t="n">
        <v>4.5</v>
      </c>
      <c r="F118" s="3" t="n">
        <v>3</v>
      </c>
      <c r="G118" s="3" t="n">
        <v>1</v>
      </c>
      <c r="H118">
        <f>INDEX(C118:E118,1,CHOOSE(scenario,F118,2,G118))</f>
        <v/>
      </c>
      <c r="I118" s="7" t="n"/>
      <c r="J118" s="2">
        <f>IF(I118="",H118,I118)</f>
        <v/>
      </c>
      <c r="K118" t="inlineStr">
        <is>
          <t>VERIFIED</t>
        </is>
      </c>
      <c r="L118" t="inlineStr">
        <is>
          <t>A-TEC-38;TEC-04</t>
        </is>
      </c>
      <c r="M118" t="inlineStr">
        <is>
          <t>NMD A3</t>
        </is>
      </c>
      <c r="N118" t="inlineStr">
        <is>
          <t>cost</t>
        </is>
      </c>
    </row>
    <row r="119">
      <c r="A119" t="inlineStr">
        <is>
          <t>price_electricity</t>
        </is>
      </c>
      <c r="B119" t="inlineStr">
        <is>
          <t>EUR/kWh</t>
        </is>
      </c>
      <c r="C119" s="3" t="n">
        <v>0.16</v>
      </c>
      <c r="D119" s="3" t="n">
        <v>0.2</v>
      </c>
      <c r="E119" s="3" t="n">
        <v>0.26</v>
      </c>
      <c r="F119" s="3" t="n">
        <v>3</v>
      </c>
      <c r="G119" s="3" t="n">
        <v>1</v>
      </c>
      <c r="H119">
        <f>INDEX(C119:E119,1,CHOOSE(scenario,F119,2,G119))</f>
        <v/>
      </c>
      <c r="I119" s="7" t="n"/>
      <c r="J119" s="2">
        <f>IF(I119="",H119,I119)</f>
        <v/>
      </c>
      <c r="K119" t="inlineStr">
        <is>
          <t>ESTIMATE</t>
        </is>
      </c>
      <c r="L119" t="inlineStr">
        <is>
          <t>CST-04;CST-05</t>
        </is>
      </c>
      <c r="M119" t="inlineStr">
        <is>
          <t>CBS 2026-H1 non-household 500-2000 MWh EUR 0.245 incl. VAT and tax -&gt; ~0.20 excl. VAT</t>
        </is>
      </c>
      <c r="N119" t="inlineStr">
        <is>
          <t>cost</t>
        </is>
      </c>
    </row>
    <row r="120">
      <c r="A120" t="inlineStr">
        <is>
          <t>diesel_use_plant</t>
        </is>
      </c>
      <c r="B120" t="inlineStr">
        <is>
          <t>l/m3</t>
        </is>
      </c>
      <c r="C120" s="3" t="n">
        <v>0.1</v>
      </c>
      <c r="D120" s="3" t="n">
        <v>0.12</v>
      </c>
      <c r="E120" s="3" t="n">
        <v>0.25</v>
      </c>
      <c r="F120" s="3" t="n">
        <v>3</v>
      </c>
      <c r="G120" s="3" t="n">
        <v>1</v>
      </c>
      <c r="H120">
        <f>INDEX(C120:E120,1,CHOOSE(scenario,F120,2,G120))</f>
        <v/>
      </c>
      <c r="I120" s="7" t="n"/>
      <c r="J120" s="2">
        <f>IF(I120="",H120,I120)</f>
        <v/>
      </c>
      <c r="K120" t="inlineStr">
        <is>
          <t>VERIFIED</t>
        </is>
      </c>
      <c r="L120" t="inlineStr">
        <is>
          <t>A-TEC-38;TEC-83</t>
        </is>
      </c>
      <c r="M120" t="inlineStr">
        <is>
          <t>Loader + heating; high incl. winter heating oil</t>
        </is>
      </c>
      <c r="N120" t="inlineStr">
        <is>
          <t>cost</t>
        </is>
      </c>
    </row>
    <row r="121">
      <c r="A121" t="inlineStr">
        <is>
          <t>price_diesel</t>
        </is>
      </c>
      <c r="B121" t="inlineStr">
        <is>
          <t>EUR/l</t>
        </is>
      </c>
      <c r="C121" s="3" t="n">
        <v>1.3</v>
      </c>
      <c r="D121" s="3" t="n">
        <v>1.55</v>
      </c>
      <c r="E121" s="3" t="n">
        <v>1.8</v>
      </c>
      <c r="F121" s="3" t="n">
        <v>3</v>
      </c>
      <c r="G121" s="3" t="n">
        <v>1</v>
      </c>
      <c r="H121">
        <f>INDEX(C121:E121,1,CHOOSE(scenario,F121,2,G121))</f>
        <v/>
      </c>
      <c r="I121" s="7" t="n"/>
      <c r="J121" s="2">
        <f>IF(I121="",H121,I121)</f>
        <v/>
      </c>
      <c r="K121" t="inlineStr">
        <is>
          <t>ASSUMPTION</t>
        </is>
      </c>
      <c r="L121" t="inlineStr">
        <is>
          <t>A-CST-19</t>
        </is>
      </c>
      <c r="M121" t="inlineStr">
        <is>
          <t>Excl. VAT, bulk</t>
        </is>
      </c>
      <c r="N121" t="inlineStr">
        <is>
          <t>cost</t>
        </is>
      </c>
    </row>
    <row r="122">
      <c r="A122" t="inlineStr">
        <is>
          <t>staff_production_fte</t>
        </is>
      </c>
      <c r="B122" t="inlineStr">
        <is>
          <t>FTE</t>
        </is>
      </c>
      <c r="C122" s="3" t="n">
        <v>6</v>
      </c>
      <c r="D122" s="3" t="n">
        <v>7</v>
      </c>
      <c r="E122" s="3" t="n">
        <v>9</v>
      </c>
      <c r="F122" s="3" t="n">
        <v>3</v>
      </c>
      <c r="G122" s="3" t="n">
        <v>1</v>
      </c>
      <c r="H122">
        <f>INDEX(C122:E122,1,CHOOSE(scenario,F122,2,G122))</f>
        <v/>
      </c>
      <c r="I122" s="7" t="n"/>
      <c r="J122" s="2">
        <f>IF(I122="",H122,I122)</f>
        <v/>
      </c>
      <c r="K122" t="inlineStr">
        <is>
          <t>ASSUMPTION</t>
        </is>
      </c>
      <c r="L122" t="inlineStr">
        <is>
          <t>A-TEC-25;A-CST-20</t>
        </is>
      </c>
      <c r="M122" t="inlineStr">
        <is>
          <t>Batchers 2, loader 2, lab 1.5, maintenance 1, ~0.5 plant mgmt</t>
        </is>
      </c>
      <c r="N122" t="inlineStr">
        <is>
          <t>cost</t>
        </is>
      </c>
    </row>
    <row r="123">
      <c r="A123" t="inlineStr">
        <is>
          <t>cost_per_fte_production</t>
        </is>
      </c>
      <c r="B123" t="inlineStr">
        <is>
          <t>EUR/yr</t>
        </is>
      </c>
      <c r="C123" s="3" t="n">
        <v>62000</v>
      </c>
      <c r="D123" s="3" t="n">
        <v>70000</v>
      </c>
      <c r="E123" s="3" t="n">
        <v>78000</v>
      </c>
      <c r="F123" s="3" t="n">
        <v>3</v>
      </c>
      <c r="G123" s="3" t="n">
        <v>1</v>
      </c>
      <c r="H123">
        <f>INDEX(C123:E123,1,CHOOSE(scenario,F123,2,G123))</f>
        <v/>
      </c>
      <c r="I123" s="7" t="n"/>
      <c r="J123" s="2">
        <f>IF(I123="",H123,I123)</f>
        <v/>
      </c>
      <c r="K123" t="inlineStr">
        <is>
          <t>ESTIMATE</t>
        </is>
      </c>
      <c r="L123" t="inlineStr">
        <is>
          <t>CST-06;CST-07;A-CST-21</t>
        </is>
      </c>
      <c r="M123" t="inlineStr">
        <is>
          <t>CAO Mortelbedrijven 2026 garantieloon EUR 3,394-3,770/month; x12 x1.08 holiday x~1.3 employer cost + overtime/shift</t>
        </is>
      </c>
      <c r="N123" t="inlineStr">
        <is>
          <t>cost</t>
        </is>
      </c>
    </row>
    <row r="124">
      <c r="A124" t="inlineStr">
        <is>
          <t>staff_sga_fte</t>
        </is>
      </c>
      <c r="B124" t="inlineStr">
        <is>
          <t>FTE</t>
        </is>
      </c>
      <c r="C124" s="3" t="n">
        <v>2</v>
      </c>
      <c r="D124" s="3" t="n">
        <v>3</v>
      </c>
      <c r="E124" s="3" t="n">
        <v>4</v>
      </c>
      <c r="F124" s="3" t="n">
        <v>3</v>
      </c>
      <c r="G124" s="3" t="n">
        <v>1</v>
      </c>
      <c r="H124">
        <f>INDEX(C124:E124,1,CHOOSE(scenario,F124,2,G124))</f>
        <v/>
      </c>
      <c r="I124" s="7" t="n"/>
      <c r="J124" s="2">
        <f>IF(I124="",H124,I124)</f>
        <v/>
      </c>
      <c r="K124" t="inlineStr">
        <is>
          <t>ASSUMPTION</t>
        </is>
      </c>
      <c r="L124" t="inlineStr">
        <is>
          <t>A-TEC-25;A-CST-20</t>
        </is>
      </c>
      <c r="M124" t="inlineStr">
        <is>
          <t>Manager, sales/technical sales, planner/admin</t>
        </is>
      </c>
      <c r="N124" t="inlineStr">
        <is>
          <t>cost</t>
        </is>
      </c>
    </row>
    <row r="125">
      <c r="A125" t="inlineStr">
        <is>
          <t>cost_per_fte_sga</t>
        </is>
      </c>
      <c r="B125" t="inlineStr">
        <is>
          <t>EUR/yr</t>
        </is>
      </c>
      <c r="C125" s="3" t="n">
        <v>80000</v>
      </c>
      <c r="D125" s="3" t="n">
        <v>90000</v>
      </c>
      <c r="E125" s="3" t="n">
        <v>110000</v>
      </c>
      <c r="F125" s="3" t="n">
        <v>3</v>
      </c>
      <c r="G125" s="3" t="n">
        <v>1</v>
      </c>
      <c r="H125">
        <f>INDEX(C125:E125,1,CHOOSE(scenario,F125,2,G125))</f>
        <v/>
      </c>
      <c r="I125" s="7" t="n"/>
      <c r="J125" s="2">
        <f>IF(I125="",H125,I125)</f>
        <v/>
      </c>
      <c r="K125" t="inlineStr">
        <is>
          <t>ASSUMPTION</t>
        </is>
      </c>
      <c r="L125" t="inlineStr">
        <is>
          <t>A-CST-21</t>
        </is>
      </c>
      <c r="M125" t="inlineStr"/>
      <c r="N125" t="inlineStr">
        <is>
          <t>cost</t>
        </is>
      </c>
    </row>
    <row r="126">
      <c r="A126" t="inlineStr">
        <is>
          <t>real_wage_growth</t>
        </is>
      </c>
      <c r="B126" t="inlineStr">
        <is>
          <t>%/yr</t>
        </is>
      </c>
      <c r="C126" s="3" t="n">
        <v>0</v>
      </c>
      <c r="D126" s="3" t="n">
        <v>0.5</v>
      </c>
      <c r="E126" s="3" t="n">
        <v>1</v>
      </c>
      <c r="F126" s="3" t="n">
        <v>3</v>
      </c>
      <c r="G126" s="3" t="n">
        <v>1</v>
      </c>
      <c r="H126">
        <f>INDEX(C126:E126,1,CHOOSE(scenario,F126,2,G126))</f>
        <v/>
      </c>
      <c r="I126" s="7" t="n"/>
      <c r="J126" s="2">
        <f>IF(I126="",H126,I126)</f>
        <v/>
      </c>
      <c r="K126" t="inlineStr">
        <is>
          <t>ESTIMATE</t>
        </is>
      </c>
      <c r="L126" t="inlineStr">
        <is>
          <t>CST-07</t>
        </is>
      </c>
      <c r="M126" t="inlineStr">
        <is>
          <t>CBS: real cao wage +0.8% (Q3 2026)</t>
        </is>
      </c>
      <c r="N126" t="inlineStr">
        <is>
          <t>cost</t>
        </is>
      </c>
    </row>
    <row r="127">
      <c r="A127" t="inlineStr">
        <is>
          <t>maintenance_pct_of_capex</t>
        </is>
      </c>
      <c r="B127" t="inlineStr">
        <is>
          <t>%/yr</t>
        </is>
      </c>
      <c r="C127" s="3" t="n">
        <v>1.5</v>
      </c>
      <c r="D127" s="3" t="n">
        <v>2.5</v>
      </c>
      <c r="E127" s="3" t="n">
        <v>4</v>
      </c>
      <c r="F127" s="3" t="n">
        <v>3</v>
      </c>
      <c r="G127" s="3" t="n">
        <v>1</v>
      </c>
      <c r="H127">
        <f>INDEX(C127:E127,1,CHOOSE(scenario,F127,2,G127))</f>
        <v/>
      </c>
      <c r="I127" s="7" t="n"/>
      <c r="J127" s="2">
        <f>IF(I127="",H127,I127)</f>
        <v/>
      </c>
      <c r="K127" t="inlineStr">
        <is>
          <t>ASSUMPTION</t>
        </is>
      </c>
      <c r="L127" t="inlineStr">
        <is>
          <t>A-CST-22</t>
        </is>
      </c>
      <c r="M127" t="inlineStr">
        <is>
          <t>On plant equipment + civil; incl. mixer liners/blades (TEC-57)</t>
        </is>
      </c>
      <c r="N127" t="inlineStr">
        <is>
          <t>cost</t>
        </is>
      </c>
    </row>
    <row r="128">
      <c r="A128" t="inlineStr">
        <is>
          <t>certification_testing_fixed</t>
        </is>
      </c>
      <c r="B128" t="inlineStr">
        <is>
          <t>EUR/yr</t>
        </is>
      </c>
      <c r="C128" s="3" t="n">
        <v>30000</v>
      </c>
      <c r="D128" s="3" t="n">
        <v>50000</v>
      </c>
      <c r="E128" s="3" t="n">
        <v>80000</v>
      </c>
      <c r="F128" s="3" t="n">
        <v>3</v>
      </c>
      <c r="G128" s="3" t="n">
        <v>1</v>
      </c>
      <c r="H128">
        <f>INDEX(C128:E128,1,CHOOSE(scenario,F128,2,G128))</f>
        <v/>
      </c>
      <c r="I128" s="7" t="n"/>
      <c r="J128" s="2">
        <f>IF(I128="",H128,I128)</f>
        <v/>
      </c>
      <c r="K128" t="inlineStr">
        <is>
          <t>ASSUMPTION</t>
        </is>
      </c>
      <c r="L128" t="inlineStr">
        <is>
          <t>CST-20;CST-03;CST-21;A-CST-23</t>
        </is>
      </c>
      <c r="M128" t="inlineStr">
        <is>
          <t>KOMO BRL 1801 audits, CSC, NMD fees, external cube/lab tests, LCA updates</t>
        </is>
      </c>
      <c r="N128" t="inlineStr">
        <is>
          <t>cost</t>
        </is>
      </c>
    </row>
    <row r="129">
      <c r="A129" t="inlineStr">
        <is>
          <t>site_area</t>
        </is>
      </c>
      <c r="B129" t="inlineStr">
        <is>
          <t>m2</t>
        </is>
      </c>
      <c r="C129" s="3" t="n">
        <v>10000</v>
      </c>
      <c r="D129" s="3" t="n">
        <v>15000</v>
      </c>
      <c r="E129" s="3" t="n">
        <v>25000</v>
      </c>
      <c r="F129" s="3" t="n">
        <v>3</v>
      </c>
      <c r="G129" s="3" t="n">
        <v>1</v>
      </c>
      <c r="H129">
        <f>INDEX(C129:E129,1,CHOOSE(scenario,F129,2,G129))</f>
        <v/>
      </c>
      <c r="I129" s="7" t="n"/>
      <c r="J129" s="2">
        <f>IF(I129="",H129,I129)</f>
        <v/>
      </c>
      <c r="K129" t="inlineStr">
        <is>
          <t>ASSUMPTION</t>
        </is>
      </c>
      <c r="L129" t="inlineStr">
        <is>
          <t>A-TEC-22</t>
        </is>
      </c>
      <c r="M129" t="inlineStr"/>
      <c r="N129" t="inlineStr">
        <is>
          <t>cost</t>
        </is>
      </c>
    </row>
    <row r="130">
      <c r="A130" t="inlineStr">
        <is>
          <t>site_lease_rate</t>
        </is>
      </c>
      <c r="B130" t="inlineStr">
        <is>
          <t>EUR/m2/yr</t>
        </is>
      </c>
      <c r="C130" s="3" t="n">
        <v>6</v>
      </c>
      <c r="D130" s="3" t="n">
        <v>10</v>
      </c>
      <c r="E130" s="3" t="n">
        <v>15</v>
      </c>
      <c r="F130" s="3" t="n">
        <v>3</v>
      </c>
      <c r="G130" s="3" t="n">
        <v>1</v>
      </c>
      <c r="H130">
        <f>INDEX(C130:E130,1,CHOOSE(scenario,F130,2,G130))</f>
        <v/>
      </c>
      <c r="I130" s="7" t="n"/>
      <c r="J130" s="2">
        <f>IF(I130="",H130,I130)</f>
        <v/>
      </c>
      <c r="K130" t="inlineStr">
        <is>
          <t>ESTIMATE</t>
        </is>
      </c>
      <c r="L130" t="inlineStr">
        <is>
          <t>CST-09;CST-10;A-CST-24</t>
        </is>
      </c>
      <c r="M130" t="inlineStr">
        <is>
          <t>Rotterdam erfpacht canon 3.81% x ground value ~EUR 150-300/m2; waterside premium</t>
        </is>
      </c>
      <c r="N130" t="inlineStr">
        <is>
          <t>cost</t>
        </is>
      </c>
    </row>
    <row r="131">
      <c r="A131" t="inlineStr">
        <is>
          <t>sga_fixed_non_staff</t>
        </is>
      </c>
      <c r="B131" t="inlineStr">
        <is>
          <t>EUR/yr</t>
        </is>
      </c>
      <c r="C131" s="3" t="n">
        <v>200000</v>
      </c>
      <c r="D131" s="3" t="n">
        <v>300000</v>
      </c>
      <c r="E131" s="3" t="n">
        <v>450000</v>
      </c>
      <c r="F131" s="3" t="n">
        <v>3</v>
      </c>
      <c r="G131" s="3" t="n">
        <v>1</v>
      </c>
      <c r="H131">
        <f>INDEX(C131:E131,1,CHOOSE(scenario,F131,2,G131))</f>
        <v/>
      </c>
      <c r="I131" s="7" t="n"/>
      <c r="J131" s="2">
        <f>IF(I131="",H131,I131)</f>
        <v/>
      </c>
      <c r="K131" t="inlineStr">
        <is>
          <t>ASSUMPTION</t>
        </is>
      </c>
      <c r="L131" t="inlineStr">
        <is>
          <t>A-CST-25</t>
        </is>
      </c>
      <c r="M131" t="inlineStr">
        <is>
          <t>Insurance, ERP/dispatch IT, audit, legal, marketing, vehicles, office</t>
        </is>
      </c>
      <c r="N131" t="inlineStr">
        <is>
          <t>cost</t>
        </is>
      </c>
    </row>
    <row r="132">
      <c r="A132" t="inlineStr">
        <is>
          <t>bad_debt_pct_revenue</t>
        </is>
      </c>
      <c r="B132" t="inlineStr">
        <is>
          <t>%</t>
        </is>
      </c>
      <c r="C132" s="3" t="n">
        <v>0.3</v>
      </c>
      <c r="D132" s="3" t="n">
        <v>0.5</v>
      </c>
      <c r="E132" s="3" t="n">
        <v>1</v>
      </c>
      <c r="F132" s="3" t="n">
        <v>3</v>
      </c>
      <c r="G132" s="3" t="n">
        <v>1</v>
      </c>
      <c r="H132">
        <f>INDEX(C132:E132,1,CHOOSE(scenario,F132,2,G132))</f>
        <v/>
      </c>
      <c r="I132" s="7" t="n"/>
      <c r="J132" s="2">
        <f>IF(I132="",H132,I132)</f>
        <v/>
      </c>
      <c r="K132" t="inlineStr">
        <is>
          <t>ASSUMPTION</t>
        </is>
      </c>
      <c r="L132" t="inlineStr">
        <is>
          <t>A-CST-26</t>
        </is>
      </c>
      <c r="M132" t="inlineStr"/>
      <c r="N132" t="inlineStr">
        <is>
          <t>cost</t>
        </is>
      </c>
    </row>
    <row r="133">
      <c r="A133" t="inlineStr">
        <is>
          <t>delivery_fixed_per_m3</t>
        </is>
      </c>
      <c r="B133" t="inlineStr">
        <is>
          <t>EUR/m3</t>
        </is>
      </c>
      <c r="C133" s="3" t="n">
        <v>7</v>
      </c>
      <c r="D133" s="3" t="n">
        <v>9</v>
      </c>
      <c r="E133" s="3" t="n">
        <v>11</v>
      </c>
      <c r="F133" s="3" t="n">
        <v>3</v>
      </c>
      <c r="G133" s="3" t="n">
        <v>1</v>
      </c>
      <c r="H133">
        <f>INDEX(C133:E133,1,CHOOSE(scenario,F133,2,G133))</f>
        <v/>
      </c>
      <c r="I133" s="7" t="n"/>
      <c r="J133" s="2">
        <f>IF(I133="",H133,I133)</f>
        <v/>
      </c>
      <c r="K133" t="inlineStr">
        <is>
          <t>ESTIMATE</t>
        </is>
      </c>
      <c r="L133" t="inlineStr">
        <is>
          <t>A-TEC-28</t>
        </is>
      </c>
      <c r="M133" t="inlineStr">
        <is>
          <t>Subcontracted truck mixers; check: EUR 110/h, 10 m3, 50 min fixed, 45 km/h -&gt; EUR 18.9/m3 at 20 km</t>
        </is>
      </c>
      <c r="N133" t="inlineStr">
        <is>
          <t>cost</t>
        </is>
      </c>
    </row>
    <row r="134">
      <c r="A134" t="inlineStr">
        <is>
          <t>delivery_variable_per_km_oneway</t>
        </is>
      </c>
      <c r="B134" t="inlineStr">
        <is>
          <t>EUR/m3/km</t>
        </is>
      </c>
      <c r="C134" s="3" t="n">
        <v>0.4</v>
      </c>
      <c r="D134" s="3" t="n">
        <v>0.5</v>
      </c>
      <c r="E134" s="3" t="n">
        <v>0.6</v>
      </c>
      <c r="F134" s="3" t="n">
        <v>3</v>
      </c>
      <c r="G134" s="3" t="n">
        <v>1</v>
      </c>
      <c r="H134">
        <f>INDEX(C134:E134,1,CHOOSE(scenario,F134,2,G134))</f>
        <v/>
      </c>
      <c r="I134" s="7" t="n"/>
      <c r="J134" s="2">
        <f>IF(I134="",H134,I134)</f>
        <v/>
      </c>
      <c r="K134" t="inlineStr">
        <is>
          <t>ESTIMATE</t>
        </is>
      </c>
      <c r="L134" t="inlineStr">
        <is>
          <t>A-TEC-28</t>
        </is>
      </c>
      <c r="M134" t="inlineStr"/>
      <c r="N134" t="inlineStr">
        <is>
          <t>cost</t>
        </is>
      </c>
    </row>
    <row r="135">
      <c r="A135" t="inlineStr">
        <is>
          <t>delivery_avg_distance_oneway</t>
        </is>
      </c>
      <c r="B135" t="inlineStr">
        <is>
          <t>km</t>
        </is>
      </c>
      <c r="C135" s="3" t="n">
        <v>10</v>
      </c>
      <c r="D135" s="3" t="n">
        <v>20</v>
      </c>
      <c r="E135" s="3" t="n">
        <v>35</v>
      </c>
      <c r="F135" s="3" t="n">
        <v>3</v>
      </c>
      <c r="G135" s="3" t="n">
        <v>1</v>
      </c>
      <c r="H135">
        <f>INDEX(C135:E135,1,CHOOSE(scenario,F135,2,G135))</f>
        <v/>
      </c>
      <c r="I135" s="7" t="n"/>
      <c r="J135" s="2">
        <f>IF(I135="",H135,I135)</f>
        <v/>
      </c>
      <c r="K135" t="inlineStr">
        <is>
          <t>ESTIMATE</t>
        </is>
      </c>
      <c r="L135" t="inlineStr">
        <is>
          <t>A-TEC-29;A-CST-27</t>
        </is>
      </c>
      <c r="M135" t="inlineStr">
        <is>
          <t>Mean distance in a 30 km disc = 2R/3 = 20 km</t>
        </is>
      </c>
      <c r="N135" t="inlineStr">
        <is>
          <t>cost</t>
        </is>
      </c>
    </row>
    <row r="136">
      <c r="A136" t="inlineStr">
        <is>
          <t>delivery_radius_max</t>
        </is>
      </c>
      <c r="B136" t="inlineStr">
        <is>
          <t>km</t>
        </is>
      </c>
      <c r="C136" s="3" t="n">
        <v>25</v>
      </c>
      <c r="D136" s="3" t="n">
        <v>35</v>
      </c>
      <c r="E136" s="3" t="n">
        <v>50</v>
      </c>
      <c r="F136" s="3" t="n">
        <v>2</v>
      </c>
      <c r="G136" s="3" t="n">
        <v>2</v>
      </c>
      <c r="H136">
        <f>INDEX(C136:E136,1,CHOOSE(scenario,F136,2,G136))</f>
        <v/>
      </c>
      <c r="I136" s="7" t="n"/>
      <c r="J136" s="2">
        <f>IF(I136="",H136,I136)</f>
        <v/>
      </c>
      <c r="K136" t="inlineStr">
        <is>
          <t>ASSUMPTION</t>
        </is>
      </c>
      <c r="L136" t="inlineStr">
        <is>
          <t>A-CMP-11</t>
        </is>
      </c>
      <c r="M136" t="inlineStr">
        <is>
          <t>Open time 1.5-2 h</t>
        </is>
      </c>
      <c r="N136" t="inlineStr">
        <is>
          <t>fixed</t>
        </is>
      </c>
    </row>
    <row r="137">
      <c r="A137" t="inlineStr">
        <is>
          <t>truck_mixer_hourly_cost</t>
        </is>
      </c>
      <c r="B137" t="inlineStr">
        <is>
          <t>EUR/h</t>
        </is>
      </c>
      <c r="C137" s="3" t="n">
        <v>95</v>
      </c>
      <c r="D137" s="3" t="n">
        <v>110</v>
      </c>
      <c r="E137" s="3" t="n">
        <v>130</v>
      </c>
      <c r="F137" s="3" t="n">
        <v>2</v>
      </c>
      <c r="G137" s="3" t="n">
        <v>2</v>
      </c>
      <c r="H137">
        <f>INDEX(C137:E137,1,CHOOSE(scenario,F137,2,G137))</f>
        <v/>
      </c>
      <c r="I137" s="7" t="n"/>
      <c r="J137" s="2">
        <f>IF(I137="",H137,I137)</f>
        <v/>
      </c>
      <c r="K137" t="inlineStr">
        <is>
          <t>ESTIMATE</t>
        </is>
      </c>
      <c r="L137" t="inlineStr">
        <is>
          <t>A-TEC-27</t>
        </is>
      </c>
      <c r="M137" t="inlineStr"/>
      <c r="N137" t="inlineStr">
        <is>
          <t>fixed</t>
        </is>
      </c>
    </row>
    <row r="138">
      <c r="A138" t="inlineStr">
        <is>
          <t>price_c30_37_project_delivered</t>
        </is>
      </c>
      <c r="B138" t="inlineStr">
        <is>
          <t>EUR/m3</t>
        </is>
      </c>
      <c r="C138" s="3" t="n">
        <v>130</v>
      </c>
      <c r="D138" s="3" t="n">
        <v>145</v>
      </c>
      <c r="E138" s="3" t="n">
        <v>165</v>
      </c>
      <c r="F138" s="3" t="n">
        <v>2</v>
      </c>
      <c r="G138" s="3" t="n">
        <v>2</v>
      </c>
      <c r="H138">
        <f>INDEX(C138:E138,1,CHOOSE(scenario,F138,2,G138))</f>
        <v/>
      </c>
      <c r="I138" s="7" t="n"/>
      <c r="J138" s="2">
        <f>IF(I138="",H138,I138)</f>
        <v/>
      </c>
      <c r="K138" t="inlineStr">
        <is>
          <t>ESTIMATE</t>
        </is>
      </c>
      <c r="L138" t="inlineStr">
        <is>
          <t>A-MKT-18;MKT-27</t>
        </is>
      </c>
      <c r="M138" t="inlineStr">
        <is>
          <t>Standard CEM III/B, incl. delivery. List ~212.5 (MKT-24)</t>
        </is>
      </c>
      <c r="N138" t="inlineStr">
        <is>
          <t>fixed</t>
        </is>
      </c>
    </row>
    <row r="139">
      <c r="A139" t="inlineStr">
        <is>
          <t>price_plant_avg_all_classes</t>
        </is>
      </c>
      <c r="B139" t="inlineStr">
        <is>
          <t>EUR/m3</t>
        </is>
      </c>
      <c r="C139" s="3" t="n">
        <v>115</v>
      </c>
      <c r="D139" s="3" t="n">
        <v>135</v>
      </c>
      <c r="E139" s="3" t="n">
        <v>155</v>
      </c>
      <c r="F139" s="3" t="n">
        <v>1</v>
      </c>
      <c r="G139" s="3" t="n">
        <v>3</v>
      </c>
      <c r="H139">
        <f>INDEX(C139:E139,1,CHOOSE(scenario,F139,2,G139))</f>
        <v/>
      </c>
      <c r="I139" s="7" t="n"/>
      <c r="J139" s="2">
        <f>IF(I139="",H139,I139)</f>
        <v/>
      </c>
      <c r="K139" t="inlineStr">
        <is>
          <t>ESTIMATE</t>
        </is>
      </c>
      <c r="L139" t="inlineStr">
        <is>
          <t>A-MKT-16;MKT-27</t>
        </is>
      </c>
      <c r="M139" t="inlineStr">
        <is>
          <t>USE THIS for the plant P&amp;L together with mix_plant_avg_binder</t>
        </is>
      </c>
      <c r="N139" t="inlineStr">
        <is>
          <t>rev</t>
        </is>
      </c>
    </row>
    <row r="140">
      <c r="A140" t="inlineStr">
        <is>
          <t>price_list_c30_37</t>
        </is>
      </c>
      <c r="B140" t="inlineStr">
        <is>
          <t>EUR/m3</t>
        </is>
      </c>
      <c r="C140" s="3" t="n">
        <v>195</v>
      </c>
      <c r="D140" s="3" t="n">
        <v>212</v>
      </c>
      <c r="E140" s="3" t="n">
        <v>225</v>
      </c>
      <c r="F140" s="3" t="n">
        <v>2</v>
      </c>
      <c r="G140" s="3" t="n">
        <v>2</v>
      </c>
      <c r="H140">
        <f>INDEX(C140:E140,1,CHOOSE(scenario,F140,2,G140))</f>
        <v/>
      </c>
      <c r="I140" s="7" t="n"/>
      <c r="J140" s="2">
        <f>IF(I140="",H140,I140)</f>
        <v/>
      </c>
      <c r="K140" t="inlineStr">
        <is>
          <t>VERIFIED</t>
        </is>
      </c>
      <c r="L140" t="inlineStr">
        <is>
          <t>A-CMP-16;MKT-24</t>
        </is>
      </c>
      <c r="M140" t="inlineStr">
        <is>
          <t>Reference only; project price ~68% of list</t>
        </is>
      </c>
      <c r="N140" t="inlineStr">
        <is>
          <t>fixed</t>
        </is>
      </c>
    </row>
    <row r="141">
      <c r="A141" t="inlineStr">
        <is>
          <t>green_premium_public</t>
        </is>
      </c>
      <c r="B141" t="inlineStr">
        <is>
          <t>% of price</t>
        </is>
      </c>
      <c r="C141" s="3" t="n">
        <v>0</v>
      </c>
      <c r="D141" s="3" t="n">
        <v>3</v>
      </c>
      <c r="E141" s="3" t="n">
        <v>8</v>
      </c>
      <c r="F141" s="3" t="n">
        <v>1</v>
      </c>
      <c r="G141" s="3" t="n">
        <v>3</v>
      </c>
      <c r="H141">
        <f>INDEX(C141:E141,1,CHOOSE(scenario,F141,2,G141))</f>
        <v/>
      </c>
      <c r="I141" s="7" t="n"/>
      <c r="J141" s="2">
        <f>IF(I141="",H141,I141)</f>
        <v/>
      </c>
      <c r="K141" t="inlineStr">
        <is>
          <t>ASSUMPTION</t>
        </is>
      </c>
      <c r="L141" t="inlineStr">
        <is>
          <t>A-MKT-25</t>
        </is>
      </c>
      <c r="M141" t="inlineStr">
        <is>
          <t>Circular volume only. This is the ONLY premium line to add</t>
        </is>
      </c>
      <c r="N141" t="inlineStr">
        <is>
          <t>rev</t>
        </is>
      </c>
    </row>
    <row r="142">
      <c r="A142" t="inlineStr">
        <is>
          <t>green_premium_private</t>
        </is>
      </c>
      <c r="B142" t="inlineStr">
        <is>
          <t>% of price</t>
        </is>
      </c>
      <c r="C142" s="3" t="n">
        <v>-2</v>
      </c>
      <c r="D142" s="3" t="n">
        <v>0</v>
      </c>
      <c r="E142" s="3" t="n">
        <v>3</v>
      </c>
      <c r="F142" s="3" t="n">
        <v>1</v>
      </c>
      <c r="G142" s="3" t="n">
        <v>3</v>
      </c>
      <c r="H142">
        <f>INDEX(C142:E142,1,CHOOSE(scenario,F142,2,G142))</f>
        <v/>
      </c>
      <c r="I142" s="7" t="n"/>
      <c r="J142" s="2">
        <f>IF(I142="",H142,I142)</f>
        <v/>
      </c>
      <c r="K142" t="inlineStr">
        <is>
          <t>ASSUMPTION</t>
        </is>
      </c>
      <c r="L142" t="inlineStr">
        <is>
          <t>A-MKT-26</t>
        </is>
      </c>
      <c r="M142" t="inlineStr">
        <is>
          <t>Circular volume only</t>
        </is>
      </c>
      <c r="N142" t="inlineStr">
        <is>
          <t>rev</t>
        </is>
      </c>
    </row>
    <row r="143">
      <c r="A143" t="inlineStr">
        <is>
          <t>recycled_surcharge_list_evidence</t>
        </is>
      </c>
      <c r="B143" t="inlineStr">
        <is>
          <t>EUR/m3</t>
        </is>
      </c>
      <c r="C143" s="3" t="n">
        <v>3.3</v>
      </c>
      <c r="D143" s="3" t="n">
        <v>5.5</v>
      </c>
      <c r="E143" s="3" t="n">
        <v>11</v>
      </c>
      <c r="F143" s="3" t="n">
        <v>2</v>
      </c>
      <c r="G143" s="3" t="n">
        <v>2</v>
      </c>
      <c r="H143">
        <f>INDEX(C143:E143,1,CHOOSE(scenario,F143,2,G143))</f>
        <v/>
      </c>
      <c r="I143" s="7" t="n"/>
      <c r="J143" s="2">
        <f>IF(I143="",H143,I143)</f>
        <v/>
      </c>
      <c r="K143" t="inlineStr">
        <is>
          <t>VERIFIED</t>
        </is>
      </c>
      <c r="L143" t="inlineStr">
        <is>
          <t>MKT-25;MKT-24</t>
        </is>
      </c>
      <c r="M143" t="inlineStr">
        <is>
          <t>Heidelberg R30/R50/R100 list surcharges; Holcim +4 (&lt;=30%). Evidence/cross-check - NOT additive</t>
        </is>
      </c>
      <c r="N143" t="inlineStr">
        <is>
          <t>fixed</t>
        </is>
      </c>
    </row>
    <row r="144">
      <c r="A144" t="inlineStr">
        <is>
          <t>mki_value_to_supplier</t>
        </is>
      </c>
      <c r="B144" t="inlineStr">
        <is>
          <t>EUR/m3</t>
        </is>
      </c>
      <c r="C144" s="3" t="n">
        <v>0</v>
      </c>
      <c r="D144" s="3" t="n">
        <v>0.5</v>
      </c>
      <c r="E144" s="3" t="n">
        <v>3.4</v>
      </c>
      <c r="F144" s="3" t="n">
        <v>2</v>
      </c>
      <c r="G144" s="3" t="n">
        <v>2</v>
      </c>
      <c r="H144">
        <f>INDEX(C144:E144,1,CHOOSE(scenario,F144,2,G144))</f>
        <v/>
      </c>
      <c r="I144" s="7" t="n"/>
      <c r="J144" s="2">
        <f>IF(I144="",H144,I144)</f>
        <v/>
      </c>
      <c r="K144" t="inlineStr">
        <is>
          <t>ESTIMATE</t>
        </is>
      </c>
      <c r="L144" t="inlineStr">
        <is>
          <t>A-POL-10;A-POL-11;A-POL-12;A-CST-28</t>
        </is>
      </c>
      <c r="M144" t="inlineStr">
        <is>
          <t>vs CEM III/B competitor ~0-1; vs ceiling-level competitor 3.4. Already inside green_premium_public - NOT additive</t>
        </is>
      </c>
      <c r="N144" t="inlineStr">
        <is>
          <t>fixed</t>
        </is>
      </c>
    </row>
    <row r="145">
      <c r="A145" t="inlineStr">
        <is>
          <t>mki_tender_share_of_public_volume</t>
        </is>
      </c>
      <c r="B145" t="inlineStr">
        <is>
          <t>%</t>
        </is>
      </c>
      <c r="C145" s="3" t="n">
        <v>35</v>
      </c>
      <c r="D145" s="3" t="n">
        <v>50</v>
      </c>
      <c r="E145" s="3" t="n">
        <v>65</v>
      </c>
      <c r="F145" s="3" t="n">
        <v>2</v>
      </c>
      <c r="G145" s="3" t="n">
        <v>2</v>
      </c>
      <c r="H145">
        <f>INDEX(C145:E145,1,CHOOSE(scenario,F145,2,G145))</f>
        <v/>
      </c>
      <c r="I145" s="7" t="n"/>
      <c r="J145" s="2">
        <f>IF(I145="",H145,I145)</f>
        <v/>
      </c>
      <c r="K145" t="inlineStr">
        <is>
          <t>ASSUMPTION</t>
        </is>
      </c>
      <c r="L145" t="inlineStr">
        <is>
          <t>A-POL-14</t>
        </is>
      </c>
      <c r="M145" t="inlineStr"/>
      <c r="N145" t="inlineStr">
        <is>
          <t>fixed</t>
        </is>
      </c>
    </row>
    <row r="146">
      <c r="A146" t="inlineStr">
        <is>
          <t>price_real_escalation</t>
        </is>
      </c>
      <c r="B146" t="inlineStr">
        <is>
          <t>%/yr</t>
        </is>
      </c>
      <c r="C146" s="3" t="n">
        <v>-0.5</v>
      </c>
      <c r="D146" s="3" t="n">
        <v>0</v>
      </c>
      <c r="E146" s="3" t="n">
        <v>0.5</v>
      </c>
      <c r="F146" s="3" t="n">
        <v>1</v>
      </c>
      <c r="G146" s="3" t="n">
        <v>3</v>
      </c>
      <c r="H146">
        <f>INDEX(C146:E146,1,CHOOSE(scenario,F146,2,G146))</f>
        <v/>
      </c>
      <c r="I146" s="7" t="n"/>
      <c r="J146" s="2">
        <f>IF(I146="",H146,I146)</f>
        <v/>
      </c>
      <c r="K146" t="inlineStr">
        <is>
          <t>ASSUMPTION</t>
        </is>
      </c>
      <c r="L146" t="inlineStr">
        <is>
          <t>A-MKT-34;A-CST-13</t>
        </is>
      </c>
      <c r="M146" t="inlineStr">
        <is>
          <t>Excl. binder carbon pass-through above</t>
        </is>
      </c>
      <c r="N146" t="inlineStr">
        <is>
          <t>rev</t>
        </is>
      </c>
    </row>
    <row r="147">
      <c r="A147" t="inlineStr">
        <is>
          <t>gwp_cem3b</t>
        </is>
      </c>
      <c r="B147" t="inlineStr">
        <is>
          <t>kgCO2e/t</t>
        </is>
      </c>
      <c r="C147" s="3" t="n">
        <v>270</v>
      </c>
      <c r="D147" s="3" t="n">
        <v>300</v>
      </c>
      <c r="E147" s="3" t="n">
        <v>360</v>
      </c>
      <c r="F147" s="3" t="n">
        <v>2</v>
      </c>
      <c r="G147" s="3" t="n">
        <v>2</v>
      </c>
      <c r="H147">
        <f>INDEX(C147:E147,1,CHOOSE(scenario,F147,2,G147))</f>
        <v/>
      </c>
      <c r="I147" s="7" t="n"/>
      <c r="J147" s="2">
        <f>IF(I147="",H147,I147)</f>
        <v/>
      </c>
      <c r="K147" t="inlineStr">
        <is>
          <t>ESTIMATE</t>
        </is>
      </c>
      <c r="L147" t="inlineStr">
        <is>
          <t>A-TEC-15;CMP-27;POL-01;A-CST-29</t>
        </is>
      </c>
      <c r="M147" t="inlineStr">
        <is>
          <t>Mebin 87 kg/m3 @300 kg -&gt; 290; TEC base 320</t>
        </is>
      </c>
      <c r="N147" t="inlineStr">
        <is>
          <t>fixed</t>
        </is>
      </c>
    </row>
    <row r="148">
      <c r="A148" t="inlineStr">
        <is>
          <t>gwp_cem1</t>
        </is>
      </c>
      <c r="B148" t="inlineStr">
        <is>
          <t>kgCO2e/t</t>
        </is>
      </c>
      <c r="C148" s="3" t="n">
        <v>700</v>
      </c>
      <c r="D148" s="3" t="n">
        <v>800</v>
      </c>
      <c r="E148" s="3" t="n">
        <v>900</v>
      </c>
      <c r="F148" s="3" t="n">
        <v>2</v>
      </c>
      <c r="G148" s="3" t="n">
        <v>2</v>
      </c>
      <c r="H148">
        <f>INDEX(C148:E148,1,CHOOSE(scenario,F148,2,G148))</f>
        <v/>
      </c>
      <c r="I148" s="7" t="n"/>
      <c r="J148" s="2">
        <f>IF(I148="",H148,I148)</f>
        <v/>
      </c>
      <c r="K148" t="inlineStr">
        <is>
          <t>ESTIMATE</t>
        </is>
      </c>
      <c r="L148" t="inlineStr">
        <is>
          <t>A-TEC-14;CMP-27</t>
        </is>
      </c>
      <c r="M148" t="inlineStr"/>
      <c r="N148" t="inlineStr">
        <is>
          <t>fixed</t>
        </is>
      </c>
    </row>
    <row r="149">
      <c r="A149" t="inlineStr">
        <is>
          <t>gwp_other_per_m3_conv</t>
        </is>
      </c>
      <c r="B149" t="inlineStr">
        <is>
          <t>kgCO2e/m3</t>
        </is>
      </c>
      <c r="C149" s="3" t="n">
        <v>20</v>
      </c>
      <c r="D149" s="3" t="n">
        <v>30</v>
      </c>
      <c r="E149" s="3" t="n">
        <v>35</v>
      </c>
      <c r="F149" s="3" t="n">
        <v>2</v>
      </c>
      <c r="G149" s="3" t="n">
        <v>2</v>
      </c>
      <c r="H149">
        <f>INDEX(C149:E149,1,CHOOSE(scenario,F149,2,G149))</f>
        <v/>
      </c>
      <c r="I149" s="7" t="n"/>
      <c r="J149" s="2">
        <f>IF(I149="",H149,I149)</f>
        <v/>
      </c>
      <c r="K149" t="inlineStr">
        <is>
          <t>VERIFIED</t>
        </is>
      </c>
      <c r="L149" t="inlineStr">
        <is>
          <t>POL-01;A-TEC-16</t>
        </is>
      </c>
      <c r="M149" t="inlineStr">
        <is>
          <t>Betonakkoord: ~30 kg for sand, gravel incl. transport and cement transport</t>
        </is>
      </c>
      <c r="N149" t="inlineStr">
        <is>
          <t>fixed</t>
        </is>
      </c>
    </row>
    <row r="150">
      <c r="A150" t="inlineStr">
        <is>
          <t>gwp_other_per_m3_circ</t>
        </is>
      </c>
      <c r="B150" t="inlineStr">
        <is>
          <t>kgCO2e/m3</t>
        </is>
      </c>
      <c r="C150" s="3" t="n">
        <v>18</v>
      </c>
      <c r="D150" s="3" t="n">
        <v>28</v>
      </c>
      <c r="E150" s="3" t="n">
        <v>33</v>
      </c>
      <c r="F150" s="3" t="n">
        <v>2</v>
      </c>
      <c r="G150" s="3" t="n">
        <v>2</v>
      </c>
      <c r="H150">
        <f>INDEX(C150:E150,1,CHOOSE(scenario,F150,2,G150))</f>
        <v/>
      </c>
      <c r="I150" s="7" t="n"/>
      <c r="J150" s="2">
        <f>IF(I150="",H150,I150)</f>
        <v/>
      </c>
      <c r="K150" t="inlineStr">
        <is>
          <t>ESTIMATE</t>
        </is>
      </c>
      <c r="L150" t="inlineStr">
        <is>
          <t>A-TEC-17;A-CMP-05</t>
        </is>
      </c>
      <c r="M150" t="inlineStr">
        <is>
          <t>RCA burden-free, trucked 30 km</t>
        </is>
      </c>
      <c r="N150" t="inlineStr">
        <is>
          <t>fixed</t>
        </is>
      </c>
    </row>
    <row r="151">
      <c r="A151" t="inlineStr">
        <is>
          <t>co2_per_m3_conv_cem3b</t>
        </is>
      </c>
      <c r="B151" t="inlineStr">
        <is>
          <t>kgCO2e/m3</t>
        </is>
      </c>
      <c r="C151" s="3" t="n">
        <v>109</v>
      </c>
      <c r="D151" s="3" t="n">
        <v>129</v>
      </c>
      <c r="E151" s="3" t="n">
        <v>154</v>
      </c>
      <c r="F151" s="3" t="n">
        <v>2</v>
      </c>
      <c r="G151" s="3" t="n">
        <v>2</v>
      </c>
      <c r="H151">
        <f>INDEX(C151:E151,1,CHOOSE(scenario,F151,2,G151))</f>
        <v/>
      </c>
      <c r="I151" s="7" t="n"/>
      <c r="J151" s="2">
        <f>IF(I151="",H151,I151)</f>
        <v/>
      </c>
      <c r="K151" t="inlineStr">
        <is>
          <t>ESTIMATE</t>
        </is>
      </c>
      <c r="L151" t="inlineStr">
        <is>
          <t>derived</t>
        </is>
      </c>
      <c r="M151" t="inlineStr">
        <is>
          <t>330 x 0.300 + 30</t>
        </is>
      </c>
      <c r="N151" t="inlineStr">
        <is>
          <t>fixed</t>
        </is>
      </c>
    </row>
    <row r="152">
      <c r="A152" t="inlineStr">
        <is>
          <t>co2_per_m3_circ</t>
        </is>
      </c>
      <c r="B152" t="inlineStr">
        <is>
          <t>kgCO2e/m3</t>
        </is>
      </c>
      <c r="C152" s="3" t="n">
        <v>111</v>
      </c>
      <c r="D152" s="3" t="n">
        <v>132</v>
      </c>
      <c r="E152" s="3" t="n">
        <v>157</v>
      </c>
      <c r="F152" s="3" t="n">
        <v>2</v>
      </c>
      <c r="G152" s="3" t="n">
        <v>2</v>
      </c>
      <c r="H152">
        <f>INDEX(C152:E152,1,CHOOSE(scenario,F152,2,G152))</f>
        <v/>
      </c>
      <c r="I152" s="7" t="n"/>
      <c r="J152" s="2">
        <f>IF(I152="",H152,I152)</f>
        <v/>
      </c>
      <c r="K152" t="inlineStr">
        <is>
          <t>ESTIMATE</t>
        </is>
      </c>
      <c r="L152" t="inlineStr">
        <is>
          <t>derived</t>
        </is>
      </c>
      <c r="M152" t="inlineStr">
        <is>
          <t>345 x 0.300 + 28 (no lower than conv: extra cement)</t>
        </is>
      </c>
      <c r="N152" t="inlineStr">
        <is>
          <t>fixed</t>
        </is>
      </c>
    </row>
    <row r="153">
      <c r="A153" t="inlineStr">
        <is>
          <t>co2_per_m3_conv_cem1</t>
        </is>
      </c>
      <c r="B153" t="inlineStr">
        <is>
          <t>kgCO2e/m3</t>
        </is>
      </c>
      <c r="C153" s="3" t="n">
        <v>244</v>
      </c>
      <c r="D153" s="3" t="n">
        <v>286</v>
      </c>
      <c r="E153" s="3" t="n">
        <v>323</v>
      </c>
      <c r="F153" s="3" t="n">
        <v>2</v>
      </c>
      <c r="G153" s="3" t="n">
        <v>2</v>
      </c>
      <c r="H153">
        <f>INDEX(C153:E153,1,CHOOSE(scenario,F153,2,G153))</f>
        <v/>
      </c>
      <c r="I153" s="7" t="n"/>
      <c r="J153" s="2">
        <f>IF(I153="",H153,I153)</f>
        <v/>
      </c>
      <c r="K153" t="inlineStr">
        <is>
          <t>ESTIMATE</t>
        </is>
      </c>
      <c r="L153" t="inlineStr">
        <is>
          <t>derived</t>
        </is>
      </c>
      <c r="M153" t="inlineStr">
        <is>
          <t>320 x 0.800 + 30</t>
        </is>
      </c>
      <c r="N153" t="inlineStr">
        <is>
          <t>fixed</t>
        </is>
      </c>
    </row>
    <row r="154">
      <c r="A154" t="inlineStr">
        <is>
          <t>mki_per_m3_conv_cem3b_betonakkoord_basis</t>
        </is>
      </c>
      <c r="B154" t="inlineStr">
        <is>
          <t>EUR/m3</t>
        </is>
      </c>
      <c r="C154" s="3" t="n">
        <v>7.4</v>
      </c>
      <c r="D154" s="3" t="n">
        <v>8.6</v>
      </c>
      <c r="E154" s="3" t="n">
        <v>10</v>
      </c>
      <c r="F154" s="3" t="n">
        <v>2</v>
      </c>
      <c r="G154" s="3" t="n">
        <v>2</v>
      </c>
      <c r="H154">
        <f>INDEX(C154:E154,1,CHOOSE(scenario,F154,2,G154))</f>
        <v/>
      </c>
      <c r="I154" s="7" t="n"/>
      <c r="J154" s="2">
        <f>IF(I154="",H154,I154)</f>
        <v/>
      </c>
      <c r="K154" t="inlineStr">
        <is>
          <t>ESTIMATE</t>
        </is>
      </c>
      <c r="L154" t="inlineStr">
        <is>
          <t>POL-01;A-CST-29</t>
        </is>
      </c>
      <c r="M154" t="inlineStr">
        <is>
          <t>MKI ~ 1.10 + 0.058 x kg CO2 (fit to Betonakkoord tables)</t>
        </is>
      </c>
      <c r="N154" t="inlineStr">
        <is>
          <t>fixed</t>
        </is>
      </c>
    </row>
    <row r="155">
      <c r="A155" t="inlineStr">
        <is>
          <t>mki_per_m3_circ_betonakkoord_basis</t>
        </is>
      </c>
      <c r="B155" t="inlineStr">
        <is>
          <t>EUR/m3</t>
        </is>
      </c>
      <c r="C155" s="3" t="n">
        <v>7.1</v>
      </c>
      <c r="D155" s="3" t="n">
        <v>8.5</v>
      </c>
      <c r="E155" s="3" t="n">
        <v>10</v>
      </c>
      <c r="F155" s="3" t="n">
        <v>2</v>
      </c>
      <c r="G155" s="3" t="n">
        <v>2</v>
      </c>
      <c r="H155">
        <f>INDEX(C155:E155,1,CHOOSE(scenario,F155,2,G155))</f>
        <v/>
      </c>
      <c r="I155" s="7" t="n"/>
      <c r="J155" s="2">
        <f>IF(I155="",H155,I155)</f>
        <v/>
      </c>
      <c r="K155" t="inlineStr">
        <is>
          <t>ESTIMATE</t>
        </is>
      </c>
      <c r="L155" t="inlineStr">
        <is>
          <t>POL-01;A-CST-29</t>
        </is>
      </c>
      <c r="M155" t="inlineStr">
        <is>
          <t>incl. -0.2 aggregate-depletion credit</t>
        </is>
      </c>
      <c r="N155" t="inlineStr">
        <is>
          <t>fixed</t>
        </is>
      </c>
    </row>
    <row r="156">
      <c r="A156" t="inlineStr">
        <is>
          <t>mki_per_m3_conv_cem1_betonakkoord_basis</t>
        </is>
      </c>
      <c r="B156" t="inlineStr">
        <is>
          <t>EUR/m3</t>
        </is>
      </c>
      <c r="C156" s="3" t="n">
        <v>15.2</v>
      </c>
      <c r="D156" s="3" t="n">
        <v>17.7</v>
      </c>
      <c r="E156" s="3" t="n">
        <v>19.8</v>
      </c>
      <c r="F156" s="3" t="n">
        <v>2</v>
      </c>
      <c r="G156" s="3" t="n">
        <v>2</v>
      </c>
      <c r="H156">
        <f>INDEX(C156:E156,1,CHOOSE(scenario,F156,2,G156))</f>
        <v/>
      </c>
      <c r="I156" s="7" t="n"/>
      <c r="J156" s="2">
        <f>IF(I156="",H156,I156)</f>
        <v/>
      </c>
      <c r="K156" t="inlineStr">
        <is>
          <t>ESTIMATE</t>
        </is>
      </c>
      <c r="L156" t="inlineStr">
        <is>
          <t>POL-01;A-CST-29</t>
        </is>
      </c>
      <c r="M156" t="inlineStr"/>
      <c r="N156" t="inlineStr">
        <is>
          <t>fixed</t>
        </is>
      </c>
    </row>
    <row r="157">
      <c r="A157" t="inlineStr">
        <is>
          <t>mki_a2_set_multiplier</t>
        </is>
      </c>
      <c r="B157" t="inlineStr">
        <is>
          <t>x</t>
        </is>
      </c>
      <c r="C157" s="3" t="n">
        <v>2</v>
      </c>
      <c r="D157" s="3" t="n">
        <v>2.15</v>
      </c>
      <c r="E157" s="3" t="n">
        <v>2.2</v>
      </c>
      <c r="F157" s="3" t="n">
        <v>2</v>
      </c>
      <c r="G157" s="3" t="n">
        <v>2</v>
      </c>
      <c r="H157">
        <f>INDEX(C157:E157,1,CHOOSE(scenario,F157,2,G157))</f>
        <v/>
      </c>
      <c r="I157" s="7" t="n"/>
      <c r="J157" s="2">
        <f>IF(I157="",H157,I157)</f>
        <v/>
      </c>
      <c r="K157" t="inlineStr">
        <is>
          <t>VERIFIED</t>
        </is>
      </c>
      <c r="L157" t="inlineStr">
        <is>
          <t>A-TEC-18;TEC-05</t>
        </is>
      </c>
      <c r="M157" t="inlineStr">
        <is>
          <t>For 2027+ RWS tenders and MPG</t>
        </is>
      </c>
      <c r="N157" t="inlineStr">
        <is>
          <t>fixed</t>
        </is>
      </c>
    </row>
    <row r="158">
      <c r="A158" t="inlineStr">
        <is>
          <t>nmd_cat3_surcharge</t>
        </is>
      </c>
      <c r="B158" t="inlineStr">
        <is>
          <t>x</t>
        </is>
      </c>
      <c r="C158" s="3" t="n">
        <v>1.3</v>
      </c>
      <c r="D158" s="3" t="n">
        <v>1.3</v>
      </c>
      <c r="E158" s="3" t="n">
        <v>1.3</v>
      </c>
      <c r="F158" s="3" t="n">
        <v>2</v>
      </c>
      <c r="G158" s="3" t="n">
        <v>2</v>
      </c>
      <c r="H158">
        <f>INDEX(C158:E158,1,CHOOSE(scenario,F158,2,G158))</f>
        <v/>
      </c>
      <c r="I158" s="7" t="n"/>
      <c r="J158" s="2">
        <f>IF(I158="",H158,I158)</f>
        <v/>
      </c>
      <c r="K158" t="inlineStr">
        <is>
          <t>VERIFIED</t>
        </is>
      </c>
      <c r="L158" t="inlineStr">
        <is>
          <t>CST-01</t>
        </is>
      </c>
      <c r="M158" t="inlineStr">
        <is>
          <t>Generic NMD data x1.3 -&gt; own cat-1 LCA needed</t>
        </is>
      </c>
      <c r="N158" t="inlineStr">
        <is>
          <t>fixed</t>
        </is>
      </c>
    </row>
    <row r="159">
      <c r="A159" t="inlineStr">
        <is>
          <t>hybrid_rubble_needed</t>
        </is>
      </c>
      <c r="B159" t="inlineStr">
        <is>
          <t>t/yr</t>
        </is>
      </c>
      <c r="C159" s="3" t="n">
        <v>25000</v>
      </c>
      <c r="D159" s="3" t="n">
        <v>40500</v>
      </c>
      <c r="E159" s="3" t="n">
        <v>70000</v>
      </c>
      <c r="F159" s="3" t="n">
        <v>2</v>
      </c>
      <c r="G159" s="3" t="n">
        <v>2</v>
      </c>
      <c r="H159">
        <f>INDEX(C159:E159,1,CHOOSE(scenario,F159,2,G159))</f>
        <v/>
      </c>
      <c r="I159" s="7" t="n"/>
      <c r="J159" s="2">
        <f>IF(I159="",H159,I159)</f>
        <v/>
      </c>
      <c r="K159" t="inlineStr">
        <is>
          <t>ESTIMATE</t>
        </is>
      </c>
      <c r="L159" t="inlineStr">
        <is>
          <t>derived</t>
        </is>
      </c>
      <c r="M159" t="inlineStr">
        <is>
          <t>RCA need / coarse yield: 0.56 t x 42k m3 / 0.58</t>
        </is>
      </c>
      <c r="N159" t="inlineStr">
        <is>
          <t>fixed</t>
        </is>
      </c>
    </row>
    <row r="160">
      <c r="A160" t="inlineStr">
        <is>
          <t>hybrid_crusher_capex_mobile</t>
        </is>
      </c>
      <c r="B160" t="inlineStr">
        <is>
          <t>MEUR</t>
        </is>
      </c>
      <c r="C160" s="3" t="n">
        <v>1</v>
      </c>
      <c r="D160" s="3" t="n">
        <v>1.6</v>
      </c>
      <c r="E160" s="3" t="n">
        <v>2.5</v>
      </c>
      <c r="F160" s="3" t="n">
        <v>2</v>
      </c>
      <c r="G160" s="3" t="n">
        <v>2</v>
      </c>
      <c r="H160">
        <f>INDEX(C160:E160,1,CHOOSE(scenario,F160,2,G160))</f>
        <v/>
      </c>
      <c r="I160" s="7" t="n"/>
      <c r="J160" s="2">
        <f>IF(I160="",H160,I160)</f>
        <v/>
      </c>
      <c r="K160" t="inlineStr">
        <is>
          <t>ASSUMPTION</t>
        </is>
      </c>
      <c r="L160" t="inlineStr">
        <is>
          <t>A-TEC-40</t>
        </is>
      </c>
      <c r="M160" t="inlineStr"/>
      <c r="N160" t="inlineStr">
        <is>
          <t>fixed</t>
        </is>
      </c>
    </row>
    <row r="161">
      <c r="A161" t="inlineStr">
        <is>
          <t>hybrid_crusher_capex_stationary_highgrade</t>
        </is>
      </c>
      <c r="B161" t="inlineStr">
        <is>
          <t>MEUR</t>
        </is>
      </c>
      <c r="C161" s="3" t="n">
        <v>6</v>
      </c>
      <c r="D161" s="3" t="n">
        <v>10</v>
      </c>
      <c r="E161" s="3" t="n">
        <v>15</v>
      </c>
      <c r="F161" s="3" t="n">
        <v>2</v>
      </c>
      <c r="G161" s="3" t="n">
        <v>2</v>
      </c>
      <c r="H161">
        <f>INDEX(C161:E161,1,CHOOSE(scenario,F161,2,G161))</f>
        <v/>
      </c>
      <c r="I161" s="7" t="n"/>
      <c r="J161" s="2">
        <f>IF(I161="",H161,I161)</f>
        <v/>
      </c>
      <c r="K161" t="inlineStr">
        <is>
          <t>ESTIMATE</t>
        </is>
      </c>
      <c r="L161" t="inlineStr">
        <is>
          <t>A-TEC-41;TEC-74</t>
        </is>
      </c>
      <c r="M161" t="inlineStr">
        <is>
          <t>300-450 kt/yr</t>
        </is>
      </c>
      <c r="N161" t="inlineStr">
        <is>
          <t>fixed</t>
        </is>
      </c>
    </row>
    <row r="162">
      <c r="A162" t="inlineStr">
        <is>
          <t>hybrid_crusher_capex_advanced</t>
        </is>
      </c>
      <c r="B162" t="inlineStr">
        <is>
          <t>MEUR</t>
        </is>
      </c>
      <c r="C162" s="3" t="n">
        <v>8</v>
      </c>
      <c r="D162" s="3" t="n">
        <v>15</v>
      </c>
      <c r="E162" s="3" t="n">
        <v>30</v>
      </c>
      <c r="F162" s="3" t="n">
        <v>2</v>
      </c>
      <c r="G162" s="3" t="n">
        <v>2</v>
      </c>
      <c r="H162">
        <f>INDEX(C162:E162,1,CHOOSE(scenario,F162,2,G162))</f>
        <v/>
      </c>
      <c r="I162" s="7" t="n"/>
      <c r="J162" s="2">
        <f>IF(I162="",H162,I162)</f>
        <v/>
      </c>
      <c r="K162" t="inlineStr">
        <is>
          <t>ASSUMPTION</t>
        </is>
      </c>
      <c r="L162" t="inlineStr">
        <is>
          <t>A-TEC-42</t>
        </is>
      </c>
      <c r="M162" t="inlineStr">
        <is>
          <t>~100 kt/yr</t>
        </is>
      </c>
      <c r="N162" t="inlineStr">
        <is>
          <t>fixed</t>
        </is>
      </c>
    </row>
    <row r="163">
      <c r="A163" t="inlineStr">
        <is>
          <t>hybrid_crusher_lifetime</t>
        </is>
      </c>
      <c r="B163" t="inlineStr">
        <is>
          <t>yr</t>
        </is>
      </c>
      <c r="C163" s="3" t="n">
        <v>10</v>
      </c>
      <c r="D163" s="3" t="n">
        <v>12</v>
      </c>
      <c r="E163" s="3" t="n">
        <v>15</v>
      </c>
      <c r="F163" s="3" t="n">
        <v>2</v>
      </c>
      <c r="G163" s="3" t="n">
        <v>2</v>
      </c>
      <c r="H163">
        <f>INDEX(C163:E163,1,CHOOSE(scenario,F163,2,G163))</f>
        <v/>
      </c>
      <c r="I163" s="7" t="n"/>
      <c r="J163" s="2">
        <f>IF(I163="",H163,I163)</f>
        <v/>
      </c>
      <c r="K163" t="inlineStr">
        <is>
          <t>ASSUMPTION</t>
        </is>
      </c>
      <c r="L163" t="inlineStr">
        <is>
          <t>A-TEC-39</t>
        </is>
      </c>
      <c r="M163" t="inlineStr"/>
      <c r="N163" t="inlineStr">
        <is>
          <t>fixed</t>
        </is>
      </c>
    </row>
    <row r="164">
      <c r="A164" t="inlineStr">
        <is>
          <t>hybrid_gate_fee_received</t>
        </is>
      </c>
      <c r="B164" t="inlineStr">
        <is>
          <t>EUR/t rubble</t>
        </is>
      </c>
      <c r="C164" s="3" t="n">
        <v>-2</v>
      </c>
      <c r="D164" s="3" t="n">
        <v>5</v>
      </c>
      <c r="E164" s="3" t="n">
        <v>15</v>
      </c>
      <c r="F164" s="3" t="n">
        <v>2</v>
      </c>
      <c r="G164" s="3" t="n">
        <v>2</v>
      </c>
      <c r="H164">
        <f>INDEX(C164:E164,1,CHOOSE(scenario,F164,2,G164))</f>
        <v/>
      </c>
      <c r="I164" s="7" t="n"/>
      <c r="J164" s="2">
        <f>IF(I164="",H164,I164)</f>
        <v/>
      </c>
      <c r="K164" t="inlineStr">
        <is>
          <t>ASSUMPTION</t>
        </is>
      </c>
      <c r="L164" t="inlineStr">
        <is>
          <t>A-MKT-15;MKT-20;MKT-23</t>
        </is>
      </c>
      <c r="M164" t="inlineStr">
        <is>
          <t>Clean concrete rubble, bulk</t>
        </is>
      </c>
      <c r="N164" t="inlineStr">
        <is>
          <t>fixed</t>
        </is>
      </c>
    </row>
    <row r="165">
      <c r="A165" t="inlineStr">
        <is>
          <t>hybrid_yield_coarse</t>
        </is>
      </c>
      <c r="B165" t="inlineStr">
        <is>
          <t>% of input</t>
        </is>
      </c>
      <c r="C165" s="3" t="n">
        <v>50</v>
      </c>
      <c r="D165" s="3" t="n">
        <v>58</v>
      </c>
      <c r="E165" s="3" t="n">
        <v>65</v>
      </c>
      <c r="F165" s="3" t="n">
        <v>2</v>
      </c>
      <c r="G165" s="3" t="n">
        <v>2</v>
      </c>
      <c r="H165">
        <f>INDEX(C165:E165,1,CHOOSE(scenario,F165,2,G165))</f>
        <v/>
      </c>
      <c r="I165" s="7" t="n"/>
      <c r="J165" s="2">
        <f>IF(I165="",H165,I165)</f>
        <v/>
      </c>
      <c r="K165" t="inlineStr">
        <is>
          <t>ESTIMATE</t>
        </is>
      </c>
      <c r="L165" t="inlineStr">
        <is>
          <t>A-TEC-01</t>
        </is>
      </c>
      <c r="M165" t="inlineStr"/>
      <c r="N165" t="inlineStr">
        <is>
          <t>fixed</t>
        </is>
      </c>
    </row>
    <row r="166">
      <c r="A166" t="inlineStr">
        <is>
          <t>hybrid_yield_sand_0_4</t>
        </is>
      </c>
      <c r="B166" t="inlineStr">
        <is>
          <t>% of input</t>
        </is>
      </c>
      <c r="C166" s="3" t="n">
        <v>30</v>
      </c>
      <c r="D166" s="3" t="n">
        <v>38</v>
      </c>
      <c r="E166" s="3" t="n">
        <v>45</v>
      </c>
      <c r="F166" s="3" t="n">
        <v>2</v>
      </c>
      <c r="G166" s="3" t="n">
        <v>2</v>
      </c>
      <c r="H166">
        <f>INDEX(C166:E166,1,CHOOSE(scenario,F166,2,G166))</f>
        <v/>
      </c>
      <c r="I166" s="7" t="n"/>
      <c r="J166" s="2">
        <f>IF(I166="",H166,I166)</f>
        <v/>
      </c>
      <c r="K166" t="inlineStr">
        <is>
          <t>ESTIMATE</t>
        </is>
      </c>
      <c r="L166" t="inlineStr">
        <is>
          <t>A-TEC-02</t>
        </is>
      </c>
      <c r="M166" t="inlineStr"/>
      <c r="N166" t="inlineStr">
        <is>
          <t>fixed</t>
        </is>
      </c>
    </row>
    <row r="167">
      <c r="A167" t="inlineStr">
        <is>
          <t>hybrid_yield_steel</t>
        </is>
      </c>
      <c r="B167" t="inlineStr">
        <is>
          <t>% of input</t>
        </is>
      </c>
      <c r="C167" s="3" t="n">
        <v>1</v>
      </c>
      <c r="D167" s="3" t="n">
        <v>3</v>
      </c>
      <c r="E167" s="3" t="n">
        <v>5</v>
      </c>
      <c r="F167" s="3" t="n">
        <v>2</v>
      </c>
      <c r="G167" s="3" t="n">
        <v>2</v>
      </c>
      <c r="H167">
        <f>INDEX(C167:E167,1,CHOOSE(scenario,F167,2,G167))</f>
        <v/>
      </c>
      <c r="I167" s="7" t="n"/>
      <c r="J167" s="2">
        <f>IF(I167="",H167,I167)</f>
        <v/>
      </c>
      <c r="K167" t="inlineStr">
        <is>
          <t>ASSUMPTION</t>
        </is>
      </c>
      <c r="L167" t="inlineStr">
        <is>
          <t>A-TEC-03</t>
        </is>
      </c>
      <c r="M167" t="inlineStr"/>
      <c r="N167" t="inlineStr">
        <is>
          <t>fixed</t>
        </is>
      </c>
    </row>
    <row r="168">
      <c r="A168" t="inlineStr">
        <is>
          <t>hybrid_yield_contaminants</t>
        </is>
      </c>
      <c r="B168" t="inlineStr">
        <is>
          <t>% of input</t>
        </is>
      </c>
      <c r="C168" s="3" t="n">
        <v>0.5</v>
      </c>
      <c r="D168" s="3" t="n">
        <v>1</v>
      </c>
      <c r="E168" s="3" t="n">
        <v>2</v>
      </c>
      <c r="F168" s="3" t="n">
        <v>2</v>
      </c>
      <c r="G168" s="3" t="n">
        <v>2</v>
      </c>
      <c r="H168">
        <f>INDEX(C168:E168,1,CHOOSE(scenario,F168,2,G168))</f>
        <v/>
      </c>
      <c r="I168" s="7" t="n"/>
      <c r="J168" s="2">
        <f>IF(I168="",H168,I168)</f>
        <v/>
      </c>
      <c r="K168" t="inlineStr">
        <is>
          <t>ASSUMPTION</t>
        </is>
      </c>
      <c r="L168" t="inlineStr">
        <is>
          <t>A-TEC-04</t>
        </is>
      </c>
      <c r="M168" t="inlineStr"/>
      <c r="N168" t="inlineStr">
        <is>
          <t>fixed</t>
        </is>
      </c>
    </row>
    <row r="169">
      <c r="A169" t="inlineStr">
        <is>
          <t>hybrid_value_coarse_internal</t>
        </is>
      </c>
      <c r="B169" t="inlineStr">
        <is>
          <t>EUR/t</t>
        </is>
      </c>
      <c r="C169" s="3" t="n">
        <v>14.2</v>
      </c>
      <c r="D169" s="3" t="n">
        <v>24.5</v>
      </c>
      <c r="E169" s="3" t="n">
        <v>45.5</v>
      </c>
      <c r="F169" s="3" t="n">
        <v>2</v>
      </c>
      <c r="G169" s="3" t="n">
        <v>2</v>
      </c>
      <c r="H169">
        <f>INDEX(C169:E169,1,CHOOSE(scenario,F169,2,G169))</f>
        <v/>
      </c>
      <c r="I169" s="7" t="n"/>
      <c r="J169" s="2">
        <f>IF(I169="",H169,I169)</f>
        <v/>
      </c>
      <c r="K169" t="inlineStr">
        <is>
          <t>ESTIMATE</t>
        </is>
      </c>
      <c r="L169" t="inlineStr">
        <is>
          <t>derived</t>
        </is>
      </c>
      <c r="M169">
        <f> avoided delivered RCA price if co-located</f>
        <v/>
      </c>
      <c r="N169" t="inlineStr">
        <is>
          <t>fixed</t>
        </is>
      </c>
    </row>
    <row r="170">
      <c r="A170" t="inlineStr">
        <is>
          <t>hybrid_price_crusher_sand</t>
        </is>
      </c>
      <c r="B170" t="inlineStr">
        <is>
          <t>EUR/t</t>
        </is>
      </c>
      <c r="C170" s="3" t="n">
        <v>0</v>
      </c>
      <c r="D170" s="3" t="n">
        <v>3</v>
      </c>
      <c r="E170" s="3" t="n">
        <v>8</v>
      </c>
      <c r="F170" s="3" t="n">
        <v>2</v>
      </c>
      <c r="G170" s="3" t="n">
        <v>2</v>
      </c>
      <c r="H170">
        <f>INDEX(C170:E170,1,CHOOSE(scenario,F170,2,G170))</f>
        <v/>
      </c>
      <c r="I170" s="7" t="n"/>
      <c r="J170" s="2">
        <f>IF(I170="",H170,I170)</f>
        <v/>
      </c>
      <c r="K170" t="inlineStr">
        <is>
          <t>ASSUMPTION</t>
        </is>
      </c>
      <c r="L170" t="inlineStr">
        <is>
          <t>A-MKT-14;A-CST-31</t>
        </is>
      </c>
      <c r="M170" t="inlineStr">
        <is>
          <t>Sold as fill/road base; concrete use needs CUR 127</t>
        </is>
      </c>
      <c r="N170" t="inlineStr">
        <is>
          <t>fixed</t>
        </is>
      </c>
    </row>
    <row r="171">
      <c r="A171" t="inlineStr">
        <is>
          <t>hybrid_price_steel_scrap</t>
        </is>
      </c>
      <c r="B171" t="inlineStr">
        <is>
          <t>EUR/t</t>
        </is>
      </c>
      <c r="C171" s="3" t="n">
        <v>100</v>
      </c>
      <c r="D171" s="3" t="n">
        <v>150</v>
      </c>
      <c r="E171" s="3" t="n">
        <v>220</v>
      </c>
      <c r="F171" s="3" t="n">
        <v>2</v>
      </c>
      <c r="G171" s="3" t="n">
        <v>2</v>
      </c>
      <c r="H171">
        <f>INDEX(C171:E171,1,CHOOSE(scenario,F171,2,G171))</f>
        <v/>
      </c>
      <c r="I171" s="7" t="n"/>
      <c r="J171" s="2">
        <f>IF(I171="",H171,I171)</f>
        <v/>
      </c>
      <c r="K171" t="inlineStr">
        <is>
          <t>ESTIMATE</t>
        </is>
      </c>
      <c r="L171" t="inlineStr">
        <is>
          <t>CST-16;CST-17;CST-18;A-CST-32</t>
        </is>
      </c>
      <c r="M171" t="inlineStr">
        <is>
          <t>Yard prices HMS EUR 150-240/t; rebar from rubble lower</t>
        </is>
      </c>
      <c r="N171" t="inlineStr">
        <is>
          <t>fixed</t>
        </is>
      </c>
    </row>
    <row r="172">
      <c r="A172" t="inlineStr">
        <is>
          <t>hybrid_cost_contaminant_disposal</t>
        </is>
      </c>
      <c r="B172" t="inlineStr">
        <is>
          <t>EUR/t</t>
        </is>
      </c>
      <c r="C172" s="3" t="n">
        <v>90</v>
      </c>
      <c r="D172" s="3" t="n">
        <v>120</v>
      </c>
      <c r="E172" s="3" t="n">
        <v>160</v>
      </c>
      <c r="F172" s="3" t="n">
        <v>2</v>
      </c>
      <c r="G172" s="3" t="n">
        <v>2</v>
      </c>
      <c r="H172">
        <f>INDEX(C172:E172,1,CHOOSE(scenario,F172,2,G172))</f>
        <v/>
      </c>
      <c r="I172" s="7" t="n"/>
      <c r="J172" s="2">
        <f>IF(I172="",H172,I172)</f>
        <v/>
      </c>
      <c r="K172" t="inlineStr">
        <is>
          <t>ASSUMPTION</t>
        </is>
      </c>
      <c r="L172" t="inlineStr">
        <is>
          <t>POL-50;POL-51;A-CST-33</t>
        </is>
      </c>
      <c r="M172" t="inlineStr">
        <is>
          <t>Incl. landfill/incineration tax EUR 40.85 (2026) -&gt; 81 (2030)</t>
        </is>
      </c>
      <c r="N172" t="inlineStr">
        <is>
          <t>fixed</t>
        </is>
      </c>
    </row>
    <row r="173">
      <c r="A173" t="inlineStr">
        <is>
          <t>hybrid_crusher_diesel</t>
        </is>
      </c>
      <c r="B173" t="inlineStr">
        <is>
          <t>l/t</t>
        </is>
      </c>
      <c r="C173" s="3" t="n">
        <v>0.15</v>
      </c>
      <c r="D173" s="3" t="n">
        <v>0.3</v>
      </c>
      <c r="E173" s="3" t="n">
        <v>0.6</v>
      </c>
      <c r="F173" s="3" t="n">
        <v>2</v>
      </c>
      <c r="G173" s="3" t="n">
        <v>2</v>
      </c>
      <c r="H173">
        <f>INDEX(C173:E173,1,CHOOSE(scenario,F173,2,G173))</f>
        <v/>
      </c>
      <c r="I173" s="7" t="n"/>
      <c r="J173" s="2">
        <f>IF(I173="",H173,I173)</f>
        <v/>
      </c>
      <c r="K173" t="inlineStr">
        <is>
          <t>ESTIMATE</t>
        </is>
      </c>
      <c r="L173" t="inlineStr">
        <is>
          <t>A-TEC-08</t>
        </is>
      </c>
      <c r="M173" t="inlineStr"/>
      <c r="N173" t="inlineStr">
        <is>
          <t>fixed</t>
        </is>
      </c>
    </row>
    <row r="174">
      <c r="A174" t="inlineStr">
        <is>
          <t>hybrid_crusher_wear</t>
        </is>
      </c>
      <c r="B174" t="inlineStr">
        <is>
          <t>EUR/t</t>
        </is>
      </c>
      <c r="C174" s="3" t="n">
        <v>0.2</v>
      </c>
      <c r="D174" s="3" t="n">
        <v>0.4</v>
      </c>
      <c r="E174" s="3" t="n">
        <v>0.8</v>
      </c>
      <c r="F174" s="3" t="n">
        <v>2</v>
      </c>
      <c r="G174" s="3" t="n">
        <v>2</v>
      </c>
      <c r="H174">
        <f>INDEX(C174:E174,1,CHOOSE(scenario,F174,2,G174))</f>
        <v/>
      </c>
      <c r="I174" s="7" t="n"/>
      <c r="J174" s="2">
        <f>IF(I174="",H174,I174)</f>
        <v/>
      </c>
      <c r="K174" t="inlineStr">
        <is>
          <t>ASSUMPTION</t>
        </is>
      </c>
      <c r="L174" t="inlineStr">
        <is>
          <t>A-TEC-43</t>
        </is>
      </c>
      <c r="M174" t="inlineStr"/>
      <c r="N174" t="inlineStr">
        <is>
          <t>fixed</t>
        </is>
      </c>
    </row>
    <row r="175">
      <c r="A175" t="inlineStr">
        <is>
          <t>hybrid_crusher_staff_fte</t>
        </is>
      </c>
      <c r="B175" t="inlineStr">
        <is>
          <t>FTE</t>
        </is>
      </c>
      <c r="C175" s="3" t="n">
        <v>2</v>
      </c>
      <c r="D175" s="3" t="n">
        <v>3</v>
      </c>
      <c r="E175" s="3" t="n">
        <v>4</v>
      </c>
      <c r="F175" s="3" t="n">
        <v>2</v>
      </c>
      <c r="G175" s="3" t="n">
        <v>2</v>
      </c>
      <c r="H175">
        <f>INDEX(C175:E175,1,CHOOSE(scenario,F175,2,G175))</f>
        <v/>
      </c>
      <c r="I175" s="7" t="n"/>
      <c r="J175" s="2">
        <f>IF(I175="",H175,I175)</f>
        <v/>
      </c>
      <c r="K175" t="inlineStr">
        <is>
          <t>ASSUMPTION</t>
        </is>
      </c>
      <c r="L175" t="inlineStr">
        <is>
          <t>A-CST-34</t>
        </is>
      </c>
      <c r="M175" t="inlineStr"/>
      <c r="N175" t="inlineStr">
        <is>
          <t>fixed</t>
        </is>
      </c>
    </row>
    <row r="176">
      <c r="A176" t="inlineStr">
        <is>
          <t>hybrid_crusher_maintenance_pct_capex</t>
        </is>
      </c>
      <c r="B176" t="inlineStr">
        <is>
          <t>%/yr</t>
        </is>
      </c>
      <c r="C176" s="3" t="n">
        <v>2</v>
      </c>
      <c r="D176" s="3" t="n">
        <v>3</v>
      </c>
      <c r="E176" s="3" t="n">
        <v>5</v>
      </c>
      <c r="F176" s="3" t="n">
        <v>2</v>
      </c>
      <c r="G176" s="3" t="n">
        <v>2</v>
      </c>
      <c r="H176">
        <f>INDEX(C176:E176,1,CHOOSE(scenario,F176,2,G176))</f>
        <v/>
      </c>
      <c r="I176" s="7" t="n"/>
      <c r="J176" s="2">
        <f>IF(I176="",H176,I176)</f>
        <v/>
      </c>
      <c r="K176" t="inlineStr">
        <is>
          <t>ASSUMPTION</t>
        </is>
      </c>
      <c r="L176" t="inlineStr">
        <is>
          <t>A-CST-34</t>
        </is>
      </c>
      <c r="M176" t="inlineStr"/>
      <c r="N176" t="inlineStr">
        <is>
          <t>fixed</t>
        </is>
      </c>
    </row>
    <row r="177">
      <c r="A177" t="inlineStr">
        <is>
          <t>hybrid_brl2506_certification</t>
        </is>
      </c>
      <c r="B177" t="inlineStr">
        <is>
          <t>EUR/yr</t>
        </is>
      </c>
      <c r="C177" s="3" t="n">
        <v>15000</v>
      </c>
      <c r="D177" s="3" t="n">
        <v>25000</v>
      </c>
      <c r="E177" s="3" t="n">
        <v>40000</v>
      </c>
      <c r="F177" s="3" t="n">
        <v>2</v>
      </c>
      <c r="G177" s="3" t="n">
        <v>2</v>
      </c>
      <c r="H177">
        <f>INDEX(C177:E177,1,CHOOSE(scenario,F177,2,G177))</f>
        <v/>
      </c>
      <c r="I177" s="7" t="n"/>
      <c r="J177" s="2">
        <f>IF(I177="",H177,I177)</f>
        <v/>
      </c>
      <c r="K177" t="inlineStr">
        <is>
          <t>ASSUMPTION</t>
        </is>
      </c>
      <c r="L177" t="inlineStr">
        <is>
          <t>A-CST-34</t>
        </is>
      </c>
      <c r="M177" t="inlineStr">
        <is>
          <t>KOMO BRL 2506-1 + NL-BSB</t>
        </is>
      </c>
      <c r="N177" t="inlineStr">
        <is>
          <t>fixed</t>
        </is>
      </c>
    </row>
    <row r="178">
      <c r="A178" t="inlineStr">
        <is>
          <t>hybrid_extra_site_area</t>
        </is>
      </c>
      <c r="B178" t="inlineStr">
        <is>
          <t>m2</t>
        </is>
      </c>
      <c r="C178" s="3" t="n">
        <v>5000</v>
      </c>
      <c r="D178" s="3" t="n">
        <v>10000</v>
      </c>
      <c r="E178" s="3" t="n">
        <v>20000</v>
      </c>
      <c r="F178" s="3" t="n">
        <v>2</v>
      </c>
      <c r="G178" s="3" t="n">
        <v>2</v>
      </c>
      <c r="H178">
        <f>INDEX(C178:E178,1,CHOOSE(scenario,F178,2,G178))</f>
        <v/>
      </c>
      <c r="I178" s="7" t="n"/>
      <c r="J178" s="2">
        <f>IF(I178="",H178,I178)</f>
        <v/>
      </c>
      <c r="K178" t="inlineStr">
        <is>
          <t>ASSUMPTION</t>
        </is>
      </c>
      <c r="L178" t="inlineStr">
        <is>
          <t>A-CST-34</t>
        </is>
      </c>
      <c r="M178" t="inlineStr"/>
      <c r="N178" t="inlineStr">
        <is>
          <t>fixed</t>
        </is>
      </c>
    </row>
    <row r="179">
      <c r="A179" t="inlineStr">
        <is>
          <t>hybrid_permit_lead_time</t>
        </is>
      </c>
      <c r="B179" t="inlineStr">
        <is>
          <t>months</t>
        </is>
      </c>
      <c r="C179" s="3" t="n">
        <v>9</v>
      </c>
      <c r="D179" s="3" t="n">
        <v>18</v>
      </c>
      <c r="E179" s="3" t="n">
        <v>36</v>
      </c>
      <c r="F179" s="3" t="n">
        <v>2</v>
      </c>
      <c r="G179" s="3" t="n">
        <v>2</v>
      </c>
      <c r="H179">
        <f>INDEX(C179:E179,1,CHOOSE(scenario,F179,2,G179))</f>
        <v/>
      </c>
      <c r="I179" s="7" t="n"/>
      <c r="J179" s="2">
        <f>IF(I179="",H179,I179)</f>
        <v/>
      </c>
      <c r="K179" t="inlineStr">
        <is>
          <t>ASSUMPTION</t>
        </is>
      </c>
      <c r="L179" t="inlineStr">
        <is>
          <t>A-POL-20</t>
        </is>
      </c>
      <c r="M179" t="inlineStr"/>
      <c r="N179" t="inlineStr">
        <is>
          <t>fixed</t>
        </is>
      </c>
    </row>
    <row r="180">
      <c r="A180" s="8" t="inlineStr">
        <is>
          <t>Option hooks (not in inputs.csv; 0 = no effect)</t>
        </is>
      </c>
    </row>
    <row r="181">
      <c r="A181" t="inlineStr">
        <is>
          <t>opt_extra_capex_y0</t>
        </is>
      </c>
      <c r="B181" t="inlineStr">
        <is>
          <t>EUR</t>
        </is>
      </c>
      <c r="C181" s="3" t="n">
        <v>0</v>
      </c>
      <c r="D181" s="3" t="n">
        <v>0</v>
      </c>
      <c r="E181" s="3" t="n">
        <v>0</v>
      </c>
      <c r="F181" s="3" t="n">
        <v>2</v>
      </c>
      <c r="G181" s="3" t="n">
        <v>2</v>
      </c>
      <c r="H181">
        <f>INDEX(C181:E181,1,CHOOSE(scenario,F181,2,G181))</f>
        <v/>
      </c>
      <c r="I181" s="7" t="n"/>
      <c r="J181" s="2">
        <f>IF(I181="",H181,I181)</f>
        <v/>
      </c>
      <c r="K181" t="inlineStr">
        <is>
          <t>MODEL HOOK</t>
        </is>
      </c>
      <c r="L181" t="inlineStr">
        <is>
          <t>model</t>
        </is>
      </c>
      <c r="M181" t="inlineStr">
        <is>
          <t>Extra initial capex in 2026 (depreciated over plant-equipment life; no salvage)</t>
        </is>
      </c>
      <c r="N181" t="inlineStr">
        <is>
          <t>fixed</t>
        </is>
      </c>
    </row>
    <row r="182">
      <c r="A182" t="inlineStr">
        <is>
          <t>opt_extra_revenue_per_yr</t>
        </is>
      </c>
      <c r="B182" t="inlineStr">
        <is>
          <t>EUR/yr</t>
        </is>
      </c>
      <c r="C182" s="3" t="n">
        <v>0</v>
      </c>
      <c r="D182" s="3" t="n">
        <v>0</v>
      </c>
      <c r="E182" s="3" t="n">
        <v>0</v>
      </c>
      <c r="F182" s="3" t="n">
        <v>2</v>
      </c>
      <c r="G182" s="3" t="n">
        <v>2</v>
      </c>
      <c r="H182">
        <f>INDEX(C182:E182,1,CHOOSE(scenario,F182,2,G182))</f>
        <v/>
      </c>
      <c r="I182" s="7" t="n"/>
      <c r="J182" s="2">
        <f>IF(I182="",H182,I182)</f>
        <v/>
      </c>
      <c r="K182" t="inlineStr">
        <is>
          <t>MODEL HOOK</t>
        </is>
      </c>
      <c r="L182" t="inlineStr">
        <is>
          <t>model</t>
        </is>
      </c>
      <c r="M182" t="inlineStr">
        <is>
          <t>Extra revenue every operating year (e.g. by-product sales)</t>
        </is>
      </c>
      <c r="N182" t="inlineStr">
        <is>
          <t>fixed</t>
        </is>
      </c>
    </row>
    <row r="183">
      <c r="A183" t="inlineStr">
        <is>
          <t>opt_extra_opex_per_yr</t>
        </is>
      </c>
      <c r="B183" t="inlineStr">
        <is>
          <t>EUR/yr</t>
        </is>
      </c>
      <c r="C183" s="3" t="n">
        <v>0</v>
      </c>
      <c r="D183" s="3" t="n">
        <v>0</v>
      </c>
      <c r="E183" s="3" t="n">
        <v>0</v>
      </c>
      <c r="F183" s="3" t="n">
        <v>2</v>
      </c>
      <c r="G183" s="3" t="n">
        <v>2</v>
      </c>
      <c r="H183">
        <f>INDEX(C183:E183,1,CHOOSE(scenario,F183,2,G183))</f>
        <v/>
      </c>
      <c r="I183" s="7" t="n"/>
      <c r="J183" s="2">
        <f>IF(I183="",H183,I183)</f>
        <v/>
      </c>
      <c r="K183" t="inlineStr">
        <is>
          <t>MODEL HOOK</t>
        </is>
      </c>
      <c r="L183" t="inlineStr">
        <is>
          <t>model</t>
        </is>
      </c>
      <c r="M183" t="inlineStr">
        <is>
          <t>Extra fixed opex every operating year</t>
        </is>
      </c>
      <c r="N183" t="inlineStr">
        <is>
          <t>fixed</t>
        </is>
      </c>
    </row>
    <row r="184">
      <c r="A184" t="inlineStr">
        <is>
          <t>opt_price_delta_per_m3</t>
        </is>
      </c>
      <c r="B184" t="inlineStr">
        <is>
          <t>EUR/m3</t>
        </is>
      </c>
      <c r="C184" s="3" t="n">
        <v>0</v>
      </c>
      <c r="D184" s="3" t="n">
        <v>0</v>
      </c>
      <c r="E184" s="3" t="n">
        <v>0</v>
      </c>
      <c r="F184" s="3" t="n">
        <v>2</v>
      </c>
      <c r="G184" s="3" t="n">
        <v>2</v>
      </c>
      <c r="H184">
        <f>INDEX(C184:E184,1,CHOOSE(scenario,F184,2,G184))</f>
        <v/>
      </c>
      <c r="I184" s="7" t="n"/>
      <c r="J184" s="2">
        <f>IF(I184="",H184,I184)</f>
        <v/>
      </c>
      <c r="K184" t="inlineStr">
        <is>
          <t>MODEL HOOK</t>
        </is>
      </c>
      <c r="L184" t="inlineStr">
        <is>
          <t>model</t>
        </is>
      </c>
      <c r="M184" t="inlineStr">
        <is>
          <t>Price change on ALL concrete sold (e.g. extra premium)</t>
        </is>
      </c>
      <c r="N184" t="inlineStr">
        <is>
          <t>fixed</t>
        </is>
      </c>
    </row>
    <row r="185">
      <c r="A185" t="inlineStr">
        <is>
          <t>opt_cost_delta_per_m3</t>
        </is>
      </c>
      <c r="B185" t="inlineStr">
        <is>
          <t>EUR/m3</t>
        </is>
      </c>
      <c r="C185" s="3" t="n">
        <v>0</v>
      </c>
      <c r="D185" s="3" t="n">
        <v>0</v>
      </c>
      <c r="E185" s="3" t="n">
        <v>0</v>
      </c>
      <c r="F185" s="3" t="n">
        <v>2</v>
      </c>
      <c r="G185" s="3" t="n">
        <v>2</v>
      </c>
      <c r="H185">
        <f>INDEX(C185:E185,1,CHOOSE(scenario,F185,2,G185))</f>
        <v/>
      </c>
      <c r="I185" s="7" t="n"/>
      <c r="J185" s="2">
        <f>IF(I185="",H185,I185)</f>
        <v/>
      </c>
      <c r="K185" t="inlineStr">
        <is>
          <t>MODEL HOOK</t>
        </is>
      </c>
      <c r="L185" t="inlineStr">
        <is>
          <t>model</t>
        </is>
      </c>
      <c r="M185" t="inlineStr">
        <is>
          <t>Variable cost change on ALL concrete sold (negative = saving)</t>
        </is>
      </c>
      <c r="N185" t="inlineStr">
        <is>
          <t>fixed</t>
        </is>
      </c>
    </row>
  </sheetData>
  <dataValidations count="1">
    <dataValidation sqref="C3" showDropDown="0" showInputMessage="0" showErrorMessage="0" allowBlank="0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Unit economics - EUR per m3 delivered, circular vs standard (conventional) mix in the same plant</t>
        </is>
      </c>
    </row>
    <row r="3">
      <c r="A3" t="inlineStr">
        <is>
          <t>Year index shown (1..10; 3 = 2029, first full-output year)</t>
        </is>
      </c>
      <c r="C3" s="7" t="n">
        <v>3</v>
      </c>
      <c r="D3">
        <f>2026+C3</f>
        <v/>
      </c>
    </row>
    <row r="4">
      <c r="A4" s="5" t="inlineStr">
        <is>
          <t>Fixed costs are spread equally over all m3 of that year. Delivery is subcontracted.</t>
        </is>
      </c>
    </row>
    <row r="6">
      <c r="A6" s="6" t="inlineStr">
        <is>
          <t>Line (EUR/m3)</t>
        </is>
      </c>
      <c r="B6" s="6" t="inlineStr"/>
      <c r="C6" s="6" t="inlineStr">
        <is>
          <t>Circular</t>
        </is>
      </c>
      <c r="D6" s="6" t="inlineStr">
        <is>
          <t>Standard CEM III/B</t>
        </is>
      </c>
      <c r="E6" s="6" t="inlineStr">
        <is>
          <t>Plant average</t>
        </is>
      </c>
      <c r="F6" s="6" t="inlineStr">
        <is>
          <t>Circular - standard</t>
        </is>
      </c>
    </row>
    <row r="7">
      <c r="A7" s="2" t="inlineStr">
        <is>
          <t>Price (delivered)</t>
        </is>
      </c>
      <c r="C7" s="9">
        <f>INDEX(Revenue!$D$21:$M$21,1,$C$3)</f>
        <v/>
      </c>
      <c r="D7" s="9">
        <f>INDEX(Revenue!$D$22:$M$22,1,$C$3)</f>
        <v/>
      </c>
      <c r="E7" s="9">
        <f>(INDEX(Revenue!$D$25:$M$25,1,$C$3)+INDEX(Revenue!$D$26:$M$26,1,$C$3))/INDEX(Revenue!$D$8:$M$8,1,$C$3)</f>
        <v/>
      </c>
      <c r="F7" s="9">
        <f>C7-D7</f>
        <v/>
      </c>
    </row>
    <row r="8">
      <c r="A8" t="inlineStr">
        <is>
          <t>Cement</t>
        </is>
      </c>
      <c r="C8" s="10">
        <f>INDEX(Opex!$D$13:$M$13,1,$C$3)</f>
        <v/>
      </c>
      <c r="D8" s="10">
        <f>INDEX(Opex!$D$21:$M$21,1,$C$3)</f>
        <v/>
      </c>
      <c r="E8" s="10">
        <f>(INDEX(Revenue!$D$9:$M$9,1,$C$3)/INDEX(Revenue!$D$8:$M$8,1,$C$3))*C8+(1-(INDEX(Revenue!$D$9:$M$9,1,$C$3)/INDEX(Revenue!$D$8:$M$8,1,$C$3)))*D8</f>
        <v/>
      </c>
      <c r="F8" s="10">
        <f>C8-D8</f>
        <v/>
      </c>
    </row>
    <row r="9">
      <c r="A9" t="inlineStr">
        <is>
          <t>Gravel</t>
        </is>
      </c>
      <c r="C9" s="10">
        <f>INDEX(Opex!$D$14:$M$14,1,$C$3)</f>
        <v/>
      </c>
      <c r="D9" s="10">
        <f>INDEX(Opex!$D$22:$M$22,1,$C$3)</f>
        <v/>
      </c>
      <c r="E9" s="10">
        <f>(INDEX(Revenue!$D$9:$M$9,1,$C$3)/INDEX(Revenue!$D$8:$M$8,1,$C$3))*C9+(1-(INDEX(Revenue!$D$9:$M$9,1,$C$3)/INDEX(Revenue!$D$8:$M$8,1,$C$3)))*D9</f>
        <v/>
      </c>
      <c r="F9" s="10">
        <f>C9-D9</f>
        <v/>
      </c>
    </row>
    <row r="10">
      <c r="A10" t="inlineStr">
        <is>
          <t>Recycled aggregate (delivered)</t>
        </is>
      </c>
      <c r="C10" s="10">
        <f>INDEX(Opex!$D$15:$M$15,1,$C$3)</f>
        <v/>
      </c>
      <c r="D10" s="10">
        <f>INDEX(Opex!$D$23:$M$23,1,$C$3)</f>
        <v/>
      </c>
      <c r="E10" s="10">
        <f>(INDEX(Revenue!$D$9:$M$9,1,$C$3)/INDEX(Revenue!$D$8:$M$8,1,$C$3))*C10+(1-(INDEX(Revenue!$D$9:$M$9,1,$C$3)/INDEX(Revenue!$D$8:$M$8,1,$C$3)))*D10</f>
        <v/>
      </c>
      <c r="F10" s="10">
        <f>C10-D10</f>
        <v/>
      </c>
    </row>
    <row r="11">
      <c r="A11" t="inlineStr">
        <is>
          <t>Sand</t>
        </is>
      </c>
      <c r="C11" s="10">
        <f>INDEX(Opex!$D$16:$M$16,1,$C$3)</f>
        <v/>
      </c>
      <c r="D11" s="10">
        <f>INDEX(Opex!$D$24:$M$24,1,$C$3)</f>
        <v/>
      </c>
      <c r="E11" s="10">
        <f>(INDEX(Revenue!$D$9:$M$9,1,$C$3)/INDEX(Revenue!$D$8:$M$8,1,$C$3))*C11+(1-(INDEX(Revenue!$D$9:$M$9,1,$C$3)/INDEX(Revenue!$D$8:$M$8,1,$C$3)))*D11</f>
        <v/>
      </c>
      <c r="F11" s="10">
        <f>C11-D11</f>
        <v/>
      </c>
    </row>
    <row r="12">
      <c r="A12" t="inlineStr">
        <is>
          <t>Admixture (superplasticiser)</t>
        </is>
      </c>
      <c r="C12" s="10">
        <f>INDEX(Opex!$D$17:$M$17,1,$C$3)</f>
        <v/>
      </c>
      <c r="D12" s="10">
        <f>INDEX(Opex!$D$25:$M$25,1,$C$3)</f>
        <v/>
      </c>
      <c r="E12" s="10">
        <f>(INDEX(Revenue!$D$9:$M$9,1,$C$3)/INDEX(Revenue!$D$8:$M$8,1,$C$3))*C12+(1-(INDEX(Revenue!$D$9:$M$9,1,$C$3)/INDEX(Revenue!$D$8:$M$8,1,$C$3)))*D12</f>
        <v/>
      </c>
      <c r="F12" s="10">
        <f>C12-D12</f>
        <v/>
      </c>
    </row>
    <row r="13">
      <c r="A13" t="inlineStr">
        <is>
          <t>Water</t>
        </is>
      </c>
      <c r="C13" s="10">
        <f>INDEX(Opex!$D$18:$M$18,1,$C$3)</f>
        <v/>
      </c>
      <c r="D13" s="10">
        <f>INDEX(Opex!$D$26:$M$26,1,$C$3)</f>
        <v/>
      </c>
      <c r="E13" s="10">
        <f>(INDEX(Revenue!$D$9:$M$9,1,$C$3)/INDEX(Revenue!$D$8:$M$8,1,$C$3))*C13+(1-(INDEX(Revenue!$D$9:$M$9,1,$C$3)/INDEX(Revenue!$D$8:$M$8,1,$C$3)))*D13</f>
        <v/>
      </c>
      <c r="F13" s="10">
        <f>C13-D13</f>
        <v/>
      </c>
    </row>
    <row r="14">
      <c r="A14" t="inlineStr">
        <is>
          <t>RCA testing &amp; handling</t>
        </is>
      </c>
      <c r="C14" s="10">
        <f>Opex!$C$8</f>
        <v/>
      </c>
      <c r="D14" s="10">
        <f>0</f>
        <v/>
      </c>
      <c r="E14" s="10">
        <f>(INDEX(Revenue!$D$9:$M$9,1,$C$3)/INDEX(Revenue!$D$8:$M$8,1,$C$3))*C14+(1-(INDEX(Revenue!$D$9:$M$9,1,$C$3)/INDEX(Revenue!$D$8:$M$8,1,$C$3)))*D14</f>
        <v/>
      </c>
      <c r="F14" s="10">
        <f>C14-D14</f>
        <v/>
      </c>
    </row>
    <row r="15">
      <c r="A15" t="inlineStr">
        <is>
          <t>Energy</t>
        </is>
      </c>
      <c r="C15" s="10">
        <f>Opex!$C$9</f>
        <v/>
      </c>
      <c r="D15" s="10">
        <f>Opex!$C$9</f>
        <v/>
      </c>
      <c r="E15" s="10">
        <f>(INDEX(Revenue!$D$9:$M$9,1,$C$3)/INDEX(Revenue!$D$8:$M$8,1,$C$3))*C15+(1-(INDEX(Revenue!$D$9:$M$9,1,$C$3)/INDEX(Revenue!$D$8:$M$8,1,$C$3)))*D15</f>
        <v/>
      </c>
      <c r="F15" s="10">
        <f>C15-D15</f>
        <v/>
      </c>
    </row>
    <row r="16">
      <c r="A16" t="inlineStr">
        <is>
          <t>Variable cost delta (hook)</t>
        </is>
      </c>
      <c r="C16" s="10">
        <f>opt_cost_delta_per_m3</f>
        <v/>
      </c>
      <c r="D16" s="10">
        <f>opt_cost_delta_per_m3</f>
        <v/>
      </c>
      <c r="E16" s="10">
        <f>(INDEX(Revenue!$D$9:$M$9,1,$C$3)/INDEX(Revenue!$D$8:$M$8,1,$C$3))*C16+(1-(INDEX(Revenue!$D$9:$M$9,1,$C$3)/INDEX(Revenue!$D$8:$M$8,1,$C$3)))*D16</f>
        <v/>
      </c>
      <c r="F16" s="10">
        <f>C16-D16</f>
        <v/>
      </c>
    </row>
    <row r="17">
      <c r="A17" t="inlineStr">
        <is>
          <t>Production labour</t>
        </is>
      </c>
      <c r="C17" s="10">
        <f>INDEX(Opex!$D$42:$M$42,1,$C$3)/INDEX(Revenue!$D$8:$M$8,1,$C$3)</f>
        <v/>
      </c>
      <c r="D17" s="10">
        <f>INDEX(Opex!$D$42:$M$42,1,$C$3)/INDEX(Revenue!$D$8:$M$8,1,$C$3)</f>
        <v/>
      </c>
      <c r="E17" s="10">
        <f>(INDEX(Revenue!$D$9:$M$9,1,$C$3)/INDEX(Revenue!$D$8:$M$8,1,$C$3))*C17+(1-(INDEX(Revenue!$D$9:$M$9,1,$C$3)/INDEX(Revenue!$D$8:$M$8,1,$C$3)))*D17</f>
        <v/>
      </c>
      <c r="F17" s="10">
        <f>C17-D17</f>
        <v/>
      </c>
    </row>
    <row r="18">
      <c r="A18" t="inlineStr">
        <is>
          <t>Maintenance &amp; wear</t>
        </is>
      </c>
      <c r="C18" s="10">
        <f>INDEX(Opex!$D$43:$M$43,1,$C$3)/INDEX(Revenue!$D$8:$M$8,1,$C$3)</f>
        <v/>
      </c>
      <c r="D18" s="10">
        <f>INDEX(Opex!$D$43:$M$43,1,$C$3)/INDEX(Revenue!$D$8:$M$8,1,$C$3)</f>
        <v/>
      </c>
      <c r="E18" s="10">
        <f>(INDEX(Revenue!$D$9:$M$9,1,$C$3)/INDEX(Revenue!$D$8:$M$8,1,$C$3))*C18+(1-(INDEX(Revenue!$D$9:$M$9,1,$C$3)/INDEX(Revenue!$D$8:$M$8,1,$C$3)))*D18</f>
        <v/>
      </c>
      <c r="F18" s="10">
        <f>C18-D18</f>
        <v/>
      </c>
    </row>
    <row r="19">
      <c r="A19" t="inlineStr">
        <is>
          <t>Certification &amp; testing</t>
        </is>
      </c>
      <c r="C19" s="10">
        <f>INDEX(Opex!$D$44:$M$44,1,$C$3)/INDEX(Revenue!$D$8:$M$8,1,$C$3)</f>
        <v/>
      </c>
      <c r="D19" s="10">
        <f>INDEX(Opex!$D$44:$M$44,1,$C$3)/INDEX(Revenue!$D$8:$M$8,1,$C$3)</f>
        <v/>
      </c>
      <c r="E19" s="10">
        <f>(INDEX(Revenue!$D$9:$M$9,1,$C$3)/INDEX(Revenue!$D$8:$M$8,1,$C$3))*C19+(1-(INDEX(Revenue!$D$9:$M$9,1,$C$3)/INDEX(Revenue!$D$8:$M$8,1,$C$3)))*D19</f>
        <v/>
      </c>
      <c r="F19" s="10">
        <f>C19-D19</f>
        <v/>
      </c>
    </row>
    <row r="20">
      <c r="A20" t="inlineStr">
        <is>
          <t>Site lease</t>
        </is>
      </c>
      <c r="C20" s="10">
        <f>INDEX(Opex!$D$45:$M$45,1,$C$3)/INDEX(Revenue!$D$8:$M$8,1,$C$3)</f>
        <v/>
      </c>
      <c r="D20" s="10">
        <f>INDEX(Opex!$D$45:$M$45,1,$C$3)/INDEX(Revenue!$D$8:$M$8,1,$C$3)</f>
        <v/>
      </c>
      <c r="E20" s="10">
        <f>(INDEX(Revenue!$D$9:$M$9,1,$C$3)/INDEX(Revenue!$D$8:$M$8,1,$C$3))*C20+(1-(INDEX(Revenue!$D$9:$M$9,1,$C$3)/INDEX(Revenue!$D$8:$M$8,1,$C$3)))*D20</f>
        <v/>
      </c>
      <c r="F20" s="10">
        <f>C20-D20</f>
        <v/>
      </c>
    </row>
    <row r="21">
      <c r="A21" t="inlineStr">
        <is>
          <t>SG&amp;A staff</t>
        </is>
      </c>
      <c r="C21" s="10">
        <f>INDEX(Opex!$D$46:$M$46,1,$C$3)/INDEX(Revenue!$D$8:$M$8,1,$C$3)</f>
        <v/>
      </c>
      <c r="D21" s="10">
        <f>INDEX(Opex!$D$46:$M$46,1,$C$3)/INDEX(Revenue!$D$8:$M$8,1,$C$3)</f>
        <v/>
      </c>
      <c r="E21" s="10">
        <f>(INDEX(Revenue!$D$9:$M$9,1,$C$3)/INDEX(Revenue!$D$8:$M$8,1,$C$3))*C21+(1-(INDEX(Revenue!$D$9:$M$9,1,$C$3)/INDEX(Revenue!$D$8:$M$8,1,$C$3)))*D21</f>
        <v/>
      </c>
      <c r="F21" s="10">
        <f>C21-D21</f>
        <v/>
      </c>
    </row>
    <row r="22">
      <c r="A22" t="inlineStr">
        <is>
          <t>SG&amp;A non-staff</t>
        </is>
      </c>
      <c r="C22" s="10">
        <f>INDEX(Opex!$D$47:$M$47,1,$C$3)/INDEX(Revenue!$D$8:$M$8,1,$C$3)</f>
        <v/>
      </c>
      <c r="D22" s="10">
        <f>INDEX(Opex!$D$47:$M$47,1,$C$3)/INDEX(Revenue!$D$8:$M$8,1,$C$3)</f>
        <v/>
      </c>
      <c r="E22" s="10">
        <f>(INDEX(Revenue!$D$9:$M$9,1,$C$3)/INDEX(Revenue!$D$8:$M$8,1,$C$3))*C22+(1-(INDEX(Revenue!$D$9:$M$9,1,$C$3)/INDEX(Revenue!$D$8:$M$8,1,$C$3)))*D22</f>
        <v/>
      </c>
      <c r="F22" s="10">
        <f>C22-D22</f>
        <v/>
      </c>
    </row>
    <row r="23">
      <c r="A23" t="inlineStr">
        <is>
          <t>Extra fixed (hook)</t>
        </is>
      </c>
      <c r="C23" s="10">
        <f>INDEX(Opex!$D$48:$M$48,1,$C$3)/INDEX(Revenue!$D$8:$M$8,1,$C$3)</f>
        <v/>
      </c>
      <c r="D23" s="10">
        <f>INDEX(Opex!$D$48:$M$48,1,$C$3)/INDEX(Revenue!$D$8:$M$8,1,$C$3)</f>
        <v/>
      </c>
      <c r="E23" s="10">
        <f>(INDEX(Revenue!$D$9:$M$9,1,$C$3)/INDEX(Revenue!$D$8:$M$8,1,$C$3))*C23+(1-(INDEX(Revenue!$D$9:$M$9,1,$C$3)/INDEX(Revenue!$D$8:$M$8,1,$C$3)))*D23</f>
        <v/>
      </c>
      <c r="F23" s="10">
        <f>C23-D23</f>
        <v/>
      </c>
    </row>
    <row r="24">
      <c r="A24" t="inlineStr">
        <is>
          <t>Delivery (truck mixer)</t>
        </is>
      </c>
      <c r="C24" s="10">
        <f>Opex!$C$10</f>
        <v/>
      </c>
      <c r="D24" s="10">
        <f>Opex!$C$10</f>
        <v/>
      </c>
      <c r="E24" s="10">
        <f>(INDEX(Revenue!$D$9:$M$9,1,$C$3)/INDEX(Revenue!$D$8:$M$8,1,$C$3))*C24+(1-(INDEX(Revenue!$D$9:$M$9,1,$C$3)/INDEX(Revenue!$D$8:$M$8,1,$C$3)))*D24</f>
        <v/>
      </c>
      <c r="F24" s="10">
        <f>C24-D24</f>
        <v/>
      </c>
    </row>
    <row r="25">
      <c r="A25" t="inlineStr">
        <is>
          <t>Bad debt</t>
        </is>
      </c>
      <c r="C25" s="10">
        <f>C7*bad_debt_pct_revenue/100</f>
        <v/>
      </c>
      <c r="D25" s="10">
        <f>D7*bad_debt_pct_revenue/100</f>
        <v/>
      </c>
      <c r="E25" s="10">
        <f>(INDEX(Revenue!$D$9:$M$9,1,$C$3)/INDEX(Revenue!$D$8:$M$8,1,$C$3))*C25+(1-(INDEX(Revenue!$D$9:$M$9,1,$C$3)/INDEX(Revenue!$D$8:$M$8,1,$C$3)))*D25</f>
        <v/>
      </c>
      <c r="F25" s="10">
        <f>C25-D25</f>
        <v/>
      </c>
    </row>
    <row r="26">
      <c r="A26" s="2" t="inlineStr">
        <is>
          <t>Cash cost (before depreciation)</t>
        </is>
      </c>
      <c r="C26" s="9">
        <f>SUM(C8:C25)</f>
        <v/>
      </c>
      <c r="D26" s="9">
        <f>SUM(D8:D25)</f>
        <v/>
      </c>
      <c r="E26" s="9">
        <f>SUM(E8:E25)</f>
        <v/>
      </c>
      <c r="F26" s="9">
        <f>C26-D26</f>
        <v/>
      </c>
    </row>
    <row r="27">
      <c r="A27" s="2" t="inlineStr">
        <is>
          <t>EBITDA margin</t>
        </is>
      </c>
      <c r="C27" s="9">
        <f>C7-C26</f>
        <v/>
      </c>
      <c r="D27" s="9">
        <f>D7-D26</f>
        <v/>
      </c>
      <c r="E27" s="9">
        <f>E7-E26</f>
        <v/>
      </c>
      <c r="F27" s="9">
        <f>C27-D27</f>
        <v/>
      </c>
    </row>
    <row r="28">
      <c r="A28" t="inlineStr">
        <is>
          <t>Depreciation &amp; amortisation</t>
        </is>
      </c>
      <c r="C28" s="10">
        <f>INDEX(Capex!$D$26:$M$26,1,$C$3)/INDEX(Revenue!$D$8:$M$8,1,$C$3)</f>
        <v/>
      </c>
      <c r="D28" s="10">
        <f>INDEX(Capex!$D$26:$M$26,1,$C$3)/INDEX(Revenue!$D$8:$M$8,1,$C$3)</f>
        <v/>
      </c>
      <c r="E28" s="10">
        <f>(INDEX(Revenue!$D$9:$M$9,1,$C$3)/INDEX(Revenue!$D$8:$M$8,1,$C$3))*C28+(1-(INDEX(Revenue!$D$9:$M$9,1,$C$3)/INDEX(Revenue!$D$8:$M$8,1,$C$3)))*D28</f>
        <v/>
      </c>
      <c r="F28" s="10">
        <f>C28-D28</f>
        <v/>
      </c>
    </row>
    <row r="29">
      <c r="A29" s="2" t="inlineStr">
        <is>
          <t>Total cost incl. depreciation</t>
        </is>
      </c>
      <c r="C29" s="9">
        <f>C26+C28</f>
        <v/>
      </c>
      <c r="D29" s="9">
        <f>D26+D28</f>
        <v/>
      </c>
      <c r="E29" s="9">
        <f>E26+E28</f>
        <v/>
      </c>
      <c r="F29" s="9">
        <f>C29-D29</f>
        <v/>
      </c>
    </row>
    <row r="30">
      <c r="A30" s="2" t="inlineStr">
        <is>
          <t>EBIT margin</t>
        </is>
      </c>
      <c r="C30" s="9">
        <f>C7-C29</f>
        <v/>
      </c>
      <c r="D30" s="9">
        <f>D7-D29</f>
        <v/>
      </c>
      <c r="E30" s="9">
        <f>E7-E29</f>
        <v/>
      </c>
      <c r="F30" s="9">
        <f>C30-D30</f>
        <v/>
      </c>
    </row>
    <row r="31">
      <c r="A31" t="inlineStr">
        <is>
          <t>Memo: capital recovery charge (10 yr annuity at r)</t>
        </is>
      </c>
      <c r="C31" s="10">
        <f>Valuation!$B$21/INDEX(Revenue!$D$8:$M$8,1,$C$3)</f>
        <v/>
      </c>
      <c r="D31" s="10">
        <f>Valuation!$B$21/INDEX(Revenue!$D$8:$M$8,1,$C$3)</f>
        <v/>
      </c>
      <c r="E31" s="10">
        <f>(INDEX(Revenue!$D$9:$M$9,1,$C$3)/INDEX(Revenue!$D$8:$M$8,1,$C$3))*C31+(1-(INDEX(Revenue!$D$9:$M$9,1,$C$3)/INDEX(Revenue!$D$8:$M$8,1,$C$3)))*D31</f>
        <v/>
      </c>
      <c r="F31" s="10">
        <f>C31-D31</f>
        <v/>
      </c>
    </row>
    <row r="32">
      <c r="A32" s="2" t="inlineStr">
        <is>
          <t>Memo: EBITDA margin after capital charge</t>
        </is>
      </c>
      <c r="C32" s="9">
        <f>C27-C31</f>
        <v/>
      </c>
      <c r="D32" s="9">
        <f>D27-D31</f>
        <v/>
      </c>
      <c r="E32" s="9">
        <f>E27-E31</f>
        <v/>
      </c>
      <c r="F32" s="9">
        <f>C32-D32</f>
        <v/>
      </c>
    </row>
    <row r="34">
      <c r="A34" t="inlineStr">
        <is>
          <t>Check: plant-average EBITDA x volume - P&amp;L EBITDA (0 unless hook revenue)</t>
        </is>
      </c>
      <c r="E34" s="11">
        <f>E27*INDEX(Revenue!$D$8:$M$8,1,$C$3)-(INDEX(PnL!$D$24:$M$24,1,$C$3)-INDEX(Revenue!$D$27:$M$27,1,$C$3))</f>
        <v/>
      </c>
    </row>
    <row r="35">
      <c r="A35" t="inlineStr">
        <is>
          <t>EBITDA margin as % of price</t>
        </is>
      </c>
      <c r="C35" s="12">
        <f>C27/C7</f>
        <v/>
      </c>
      <c r="D35" s="12">
        <f>D27/D7</f>
        <v/>
      </c>
      <c r="E35" s="12">
        <f>E27/E7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Capex, one-off start-up costs, grant, depreciation, salvage (EUR, real 2026)</t>
        </is>
      </c>
    </row>
    <row r="2">
      <c r="A2" s="5" t="inlineStr">
        <is>
          <t>t=0 (2026) = permitting &amp; construction year. All initial spend in t=0.</t>
        </is>
      </c>
    </row>
    <row r="3">
      <c r="A3" s="13" t="inlineStr">
        <is>
          <t>Year</t>
        </is>
      </c>
      <c r="B3" s="13" t="inlineStr">
        <is>
          <t>unit</t>
        </is>
      </c>
      <c r="C3" s="14">
        <f>2026+C4</f>
        <v/>
      </c>
      <c r="D3" s="14">
        <f>2026+D4</f>
        <v/>
      </c>
      <c r="E3" s="14">
        <f>2026+E4</f>
        <v/>
      </c>
      <c r="F3" s="14">
        <f>2026+F4</f>
        <v/>
      </c>
      <c r="G3" s="14">
        <f>2026+G4</f>
        <v/>
      </c>
      <c r="H3" s="14">
        <f>2026+H4</f>
        <v/>
      </c>
      <c r="I3" s="14">
        <f>2026+I4</f>
        <v/>
      </c>
      <c r="J3" s="14">
        <f>2026+J4</f>
        <v/>
      </c>
      <c r="K3" s="14">
        <f>2026+K4</f>
        <v/>
      </c>
      <c r="L3" s="14">
        <f>2026+L4</f>
        <v/>
      </c>
      <c r="M3" s="14">
        <f>2026+M4</f>
        <v/>
      </c>
    </row>
    <row r="4">
      <c r="A4" s="13" t="inlineStr">
        <is>
          <t>t (year index)</t>
        </is>
      </c>
      <c r="B4" s="15" t="n"/>
      <c r="C4" s="14" t="n">
        <v>0</v>
      </c>
      <c r="D4" s="14" t="n">
        <v>1</v>
      </c>
      <c r="E4" s="14" t="n">
        <v>2</v>
      </c>
      <c r="F4" s="14" t="n">
        <v>3</v>
      </c>
      <c r="G4" s="14" t="n">
        <v>4</v>
      </c>
      <c r="H4" s="14" t="n">
        <v>5</v>
      </c>
      <c r="I4" s="14" t="n">
        <v>6</v>
      </c>
      <c r="J4" s="14" t="n">
        <v>7</v>
      </c>
      <c r="K4" s="14" t="n">
        <v>8</v>
      </c>
      <c r="L4" s="14" t="n">
        <v>9</v>
      </c>
      <c r="M4" s="14" t="n">
        <v>10</v>
      </c>
    </row>
    <row r="6">
      <c r="A6" s="16" t="inlineStr">
        <is>
          <t>Initial investment (t = 0)</t>
        </is>
      </c>
    </row>
    <row r="7">
      <c r="A7" t="inlineStr">
        <is>
          <t>Plant equipment (batching plant, mixer, bins, silos, lab)</t>
        </is>
      </c>
      <c r="B7" t="inlineStr">
        <is>
          <t>EUR</t>
        </is>
      </c>
      <c r="C7" s="17">
        <f>capex_plant_equipment*1000000</f>
        <v/>
      </c>
      <c r="D7" s="17" t="n">
        <v>0</v>
      </c>
      <c r="E7" s="17" t="n">
        <v>0</v>
      </c>
      <c r="F7" s="17" t="n">
        <v>0</v>
      </c>
      <c r="G7" s="17" t="n">
        <v>0</v>
      </c>
      <c r="H7" s="17" t="n">
        <v>0</v>
      </c>
      <c r="I7" s="17" t="n">
        <v>0</v>
      </c>
      <c r="J7" s="17" t="n">
        <v>0</v>
      </c>
      <c r="K7" s="17" t="n">
        <v>0</v>
      </c>
      <c r="L7" s="17" t="n">
        <v>0</v>
      </c>
      <c r="M7" s="17" t="n">
        <v>0</v>
      </c>
    </row>
    <row r="8">
      <c r="A8" t="inlineStr">
        <is>
          <t>Site preparation &amp; civil works</t>
        </is>
      </c>
      <c r="B8" t="inlineStr">
        <is>
          <t>EUR</t>
        </is>
      </c>
      <c r="C8" s="17">
        <f>capex_site_prep_civil*1000000</f>
        <v/>
      </c>
      <c r="D8" s="17" t="n">
        <v>0</v>
      </c>
      <c r="E8" s="17" t="n">
        <v>0</v>
      </c>
      <c r="F8" s="17" t="n">
        <v>0</v>
      </c>
      <c r="G8" s="17" t="n">
        <v>0</v>
      </c>
      <c r="H8" s="17" t="n">
        <v>0</v>
      </c>
      <c r="I8" s="17" t="n">
        <v>0</v>
      </c>
      <c r="J8" s="17" t="n">
        <v>0</v>
      </c>
      <c r="K8" s="17" t="n">
        <v>0</v>
      </c>
      <c r="L8" s="17" t="n">
        <v>0</v>
      </c>
      <c r="M8" s="17" t="n">
        <v>0</v>
      </c>
    </row>
    <row r="9">
      <c r="A9" t="inlineStr">
        <is>
          <t>Permits, studies, engineering (amortised)</t>
        </is>
      </c>
      <c r="B9" t="inlineStr">
        <is>
          <t>EUR</t>
        </is>
      </c>
      <c r="C9" s="17">
        <f>capex_permits_engineering*1000000</f>
        <v/>
      </c>
      <c r="D9" s="17" t="n">
        <v>0</v>
      </c>
      <c r="E9" s="17" t="n">
        <v>0</v>
      </c>
      <c r="F9" s="17" t="n">
        <v>0</v>
      </c>
      <c r="G9" s="17" t="n">
        <v>0</v>
      </c>
      <c r="H9" s="17" t="n">
        <v>0</v>
      </c>
      <c r="I9" s="17" t="n">
        <v>0</v>
      </c>
      <c r="J9" s="17" t="n">
        <v>0</v>
      </c>
      <c r="K9" s="17" t="n">
        <v>0</v>
      </c>
      <c r="L9" s="17" t="n">
        <v>0</v>
      </c>
      <c r="M9" s="17" t="n">
        <v>0</v>
      </c>
    </row>
    <row r="10">
      <c r="A10" t="inlineStr">
        <is>
          <t>Option hook: extra capex</t>
        </is>
      </c>
      <c r="B10" t="inlineStr">
        <is>
          <t>EUR</t>
        </is>
      </c>
      <c r="C10" s="17">
        <f>opt_extra_capex_y0</f>
        <v/>
      </c>
      <c r="D10" s="17" t="n">
        <v>0</v>
      </c>
      <c r="E10" s="17" t="n">
        <v>0</v>
      </c>
      <c r="F10" s="17" t="n">
        <v>0</v>
      </c>
      <c r="G10" s="17" t="n">
        <v>0</v>
      </c>
      <c r="H10" s="17" t="n">
        <v>0</v>
      </c>
      <c r="I10" s="17" t="n">
        <v>0</v>
      </c>
      <c r="J10" s="17" t="n">
        <v>0</v>
      </c>
      <c r="K10" s="17" t="n">
        <v>0</v>
      </c>
      <c r="L10" s="17" t="n">
        <v>0</v>
      </c>
      <c r="M10" s="17" t="n">
        <v>0</v>
      </c>
    </row>
    <row r="11">
      <c r="A11" t="inlineStr">
        <is>
          <t>Land purchase (0 = leased)</t>
        </is>
      </c>
      <c r="B11" t="inlineStr">
        <is>
          <t>EUR</t>
        </is>
      </c>
      <c r="C11" s="17">
        <f>land_purchase*1000000</f>
        <v/>
      </c>
      <c r="D11" s="17" t="n">
        <v>0</v>
      </c>
      <c r="E11" s="17" t="n">
        <v>0</v>
      </c>
      <c r="F11" s="17" t="n">
        <v>0</v>
      </c>
      <c r="G11" s="17" t="n">
        <v>0</v>
      </c>
      <c r="H11" s="17" t="n">
        <v>0</v>
      </c>
      <c r="I11" s="17" t="n">
        <v>0</v>
      </c>
      <c r="J11" s="17" t="n">
        <v>0</v>
      </c>
      <c r="K11" s="17" t="n">
        <v>0</v>
      </c>
      <c r="L11" s="17" t="n">
        <v>0</v>
      </c>
      <c r="M11" s="17" t="n">
        <v>0</v>
      </c>
    </row>
    <row r="12">
      <c r="A12" s="2" t="inlineStr">
        <is>
          <t>Total initial capex</t>
        </is>
      </c>
      <c r="B12" t="inlineStr">
        <is>
          <t>EUR</t>
        </is>
      </c>
      <c r="C12" s="18">
        <f>C7+C8+C9+C10+C11</f>
        <v/>
      </c>
      <c r="D12" s="18">
        <f>D7+D8+D9+D10+D11</f>
        <v/>
      </c>
      <c r="E12" s="18">
        <f>E7+E8+E9+E10+E11</f>
        <v/>
      </c>
      <c r="F12" s="18">
        <f>F7+F8+F9+F10+F11</f>
        <v/>
      </c>
      <c r="G12" s="18">
        <f>G7+G8+G9+G10+G11</f>
        <v/>
      </c>
      <c r="H12" s="18">
        <f>H7+H8+H9+H10+H11</f>
        <v/>
      </c>
      <c r="I12" s="18">
        <f>I7+I8+I9+I10+I11</f>
        <v/>
      </c>
      <c r="J12" s="18">
        <f>J7+J8+J9+J10+J11</f>
        <v/>
      </c>
      <c r="K12" s="18">
        <f>K7+K8+K9+K10+K11</f>
        <v/>
      </c>
      <c r="L12" s="18">
        <f>L7+L8+L9+L10+L11</f>
        <v/>
      </c>
      <c r="M12" s="18">
        <f>M7+M8+M9+M10+M11</f>
        <v/>
      </c>
    </row>
    <row r="13">
      <c r="A13" t="inlineStr">
        <is>
          <t>Physical assets (plant + civil) - base for maintenance, sustaining capex, salvage</t>
        </is>
      </c>
      <c r="B13" t="inlineStr">
        <is>
          <t>EUR</t>
        </is>
      </c>
      <c r="C13" s="17">
        <f>$C$7+$C$8</f>
        <v/>
      </c>
    </row>
    <row r="15">
      <c r="A15" s="16" t="inlineStr">
        <is>
          <t>One-off items in t = 0 (expensed / income, not capex)</t>
        </is>
      </c>
    </row>
    <row r="16">
      <c r="A16" t="inlineStr">
        <is>
          <t>Start-up costs expensed: LCA/EPD + pre-opening</t>
        </is>
      </c>
      <c r="B16" t="inlineStr">
        <is>
          <t>EUR</t>
        </is>
      </c>
      <c r="C16" s="17">
        <f>capex_lca_epd_one_off+capex_preopening_costs</f>
        <v/>
      </c>
      <c r="D16" s="17" t="n">
        <v>0</v>
      </c>
      <c r="E16" s="17" t="n">
        <v>0</v>
      </c>
      <c r="F16" s="17" t="n">
        <v>0</v>
      </c>
      <c r="G16" s="17" t="n">
        <v>0</v>
      </c>
      <c r="H16" s="17" t="n">
        <v>0</v>
      </c>
      <c r="I16" s="17" t="n">
        <v>0</v>
      </c>
      <c r="J16" s="17" t="n">
        <v>0</v>
      </c>
      <c r="K16" s="17" t="n">
        <v>0</v>
      </c>
      <c r="L16" s="17" t="n">
        <v>0</v>
      </c>
      <c r="M16" s="17" t="n">
        <v>0</v>
      </c>
    </row>
    <row r="17">
      <c r="A17" t="inlineStr">
        <is>
          <t>Grant DEI+/VEKI (taxable income in t=0)</t>
        </is>
      </c>
      <c r="B17" t="inlineStr">
        <is>
          <t>EUR</t>
        </is>
      </c>
      <c r="C17" s="17">
        <f>grant_dei_veki_first_plant*1000000</f>
        <v/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</row>
    <row r="18">
      <c r="A18" t="inlineStr">
        <is>
          <t>MIA extra tax deduction (gives the stated net value at top rate)</t>
        </is>
      </c>
      <c r="B18" t="inlineStr">
        <is>
          <t>EUR</t>
        </is>
      </c>
      <c r="C18" s="17">
        <f>mia_eligible_share_of_capex/100*$C$13*mia_net_value_pct_eligible_capex/tax_rate_vpb_high_bracket</f>
        <v/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</row>
    <row r="20">
      <c r="A20" s="16" t="inlineStr">
        <is>
          <t>Sustaining capex and depreciation</t>
        </is>
      </c>
    </row>
    <row r="21">
      <c r="A21" t="inlineStr">
        <is>
          <t>Sustaining capex (% of physical assets per operating year)</t>
        </is>
      </c>
      <c r="B21" t="inlineStr">
        <is>
          <t>EUR</t>
        </is>
      </c>
      <c r="C21" s="17" t="n">
        <v>0</v>
      </c>
      <c r="D21" s="17">
        <f>sustaining_capex_pct_of_capex/100*$C$13</f>
        <v/>
      </c>
      <c r="E21" s="17">
        <f>sustaining_capex_pct_of_capex/100*$C$13</f>
        <v/>
      </c>
      <c r="F21" s="17">
        <f>sustaining_capex_pct_of_capex/100*$C$13</f>
        <v/>
      </c>
      <c r="G21" s="17">
        <f>sustaining_capex_pct_of_capex/100*$C$13</f>
        <v/>
      </c>
      <c r="H21" s="17">
        <f>sustaining_capex_pct_of_capex/100*$C$13</f>
        <v/>
      </c>
      <c r="I21" s="17">
        <f>sustaining_capex_pct_of_capex/100*$C$13</f>
        <v/>
      </c>
      <c r="J21" s="17">
        <f>sustaining_capex_pct_of_capex/100*$C$13</f>
        <v/>
      </c>
      <c r="K21" s="17">
        <f>sustaining_capex_pct_of_capex/100*$C$13</f>
        <v/>
      </c>
      <c r="L21" s="17">
        <f>sustaining_capex_pct_of_capex/100*$C$13</f>
        <v/>
      </c>
      <c r="M21" s="17">
        <f>sustaining_capex_pct_of_capex/100*$C$13</f>
        <v/>
      </c>
    </row>
    <row r="22">
      <c r="A22" t="inlineStr">
        <is>
          <t>Depreciation plant equipment (+ hook capex)</t>
        </is>
      </c>
      <c r="B22" t="inlineStr">
        <is>
          <t>EUR</t>
        </is>
      </c>
      <c r="C22" s="17">
        <f>IF(AND(C$4&gt;=1,C$4&lt;=lifetime_plant_equipment),($C$7+$C$10)/lifetime_plant_equipment,0)</f>
        <v/>
      </c>
      <c r="D22" s="17">
        <f>IF(AND(D$4&gt;=1,D$4&lt;=lifetime_plant_equipment),($C$7+$C$10)/lifetime_plant_equipment,0)</f>
        <v/>
      </c>
      <c r="E22" s="17">
        <f>IF(AND(E$4&gt;=1,E$4&lt;=lifetime_plant_equipment),($C$7+$C$10)/lifetime_plant_equipment,0)</f>
        <v/>
      </c>
      <c r="F22" s="17">
        <f>IF(AND(F$4&gt;=1,F$4&lt;=lifetime_plant_equipment),($C$7+$C$10)/lifetime_plant_equipment,0)</f>
        <v/>
      </c>
      <c r="G22" s="17">
        <f>IF(AND(G$4&gt;=1,G$4&lt;=lifetime_plant_equipment),($C$7+$C$10)/lifetime_plant_equipment,0)</f>
        <v/>
      </c>
      <c r="H22" s="17">
        <f>IF(AND(H$4&gt;=1,H$4&lt;=lifetime_plant_equipment),($C$7+$C$10)/lifetime_plant_equipment,0)</f>
        <v/>
      </c>
      <c r="I22" s="17">
        <f>IF(AND(I$4&gt;=1,I$4&lt;=lifetime_plant_equipment),($C$7+$C$10)/lifetime_plant_equipment,0)</f>
        <v/>
      </c>
      <c r="J22" s="17">
        <f>IF(AND(J$4&gt;=1,J$4&lt;=lifetime_plant_equipment),($C$7+$C$10)/lifetime_plant_equipment,0)</f>
        <v/>
      </c>
      <c r="K22" s="17">
        <f>IF(AND(K$4&gt;=1,K$4&lt;=lifetime_plant_equipment),($C$7+$C$10)/lifetime_plant_equipment,0)</f>
        <v/>
      </c>
      <c r="L22" s="17">
        <f>IF(AND(L$4&gt;=1,L$4&lt;=lifetime_plant_equipment),($C$7+$C$10)/lifetime_plant_equipment,0)</f>
        <v/>
      </c>
      <c r="M22" s="17">
        <f>IF(AND(M$4&gt;=1,M$4&lt;=lifetime_plant_equipment),($C$7+$C$10)/lifetime_plant_equipment,0)</f>
        <v/>
      </c>
    </row>
    <row r="23">
      <c r="A23" t="inlineStr">
        <is>
          <t>Depreciation civil works</t>
        </is>
      </c>
      <c r="B23" t="inlineStr">
        <is>
          <t>EUR</t>
        </is>
      </c>
      <c r="C23" s="17">
        <f>IF(AND(C$4&gt;=1,C$4&lt;=lifetime_civil_works),$C$8/lifetime_civil_works,0)</f>
        <v/>
      </c>
      <c r="D23" s="17">
        <f>IF(AND(D$4&gt;=1,D$4&lt;=lifetime_civil_works),$C$8/lifetime_civil_works,0)</f>
        <v/>
      </c>
      <c r="E23" s="17">
        <f>IF(AND(E$4&gt;=1,E$4&lt;=lifetime_civil_works),$C$8/lifetime_civil_works,0)</f>
        <v/>
      </c>
      <c r="F23" s="17">
        <f>IF(AND(F$4&gt;=1,F$4&lt;=lifetime_civil_works),$C$8/lifetime_civil_works,0)</f>
        <v/>
      </c>
      <c r="G23" s="17">
        <f>IF(AND(G$4&gt;=1,G$4&lt;=lifetime_civil_works),$C$8/lifetime_civil_works,0)</f>
        <v/>
      </c>
      <c r="H23" s="17">
        <f>IF(AND(H$4&gt;=1,H$4&lt;=lifetime_civil_works),$C$8/lifetime_civil_works,0)</f>
        <v/>
      </c>
      <c r="I23" s="17">
        <f>IF(AND(I$4&gt;=1,I$4&lt;=lifetime_civil_works),$C$8/lifetime_civil_works,0)</f>
        <v/>
      </c>
      <c r="J23" s="17">
        <f>IF(AND(J$4&gt;=1,J$4&lt;=lifetime_civil_works),$C$8/lifetime_civil_works,0)</f>
        <v/>
      </c>
      <c r="K23" s="17">
        <f>IF(AND(K$4&gt;=1,K$4&lt;=lifetime_civil_works),$C$8/lifetime_civil_works,0)</f>
        <v/>
      </c>
      <c r="L23" s="17">
        <f>IF(AND(L$4&gt;=1,L$4&lt;=lifetime_civil_works),$C$8/lifetime_civil_works,0)</f>
        <v/>
      </c>
      <c r="M23" s="17">
        <f>IF(AND(M$4&gt;=1,M$4&lt;=lifetime_civil_works),$C$8/lifetime_civil_works,0)</f>
        <v/>
      </c>
    </row>
    <row r="24">
      <c r="A24" t="inlineStr">
        <is>
          <t>Amortisation permits &amp; engineering</t>
        </is>
      </c>
      <c r="B24" t="inlineStr">
        <is>
          <t>EUR</t>
        </is>
      </c>
      <c r="C24" s="17">
        <f>IF(AND(C$4&gt;=1,C$4&lt;=lifetime_permits_engineering),$C$9/lifetime_permits_engineering,0)</f>
        <v/>
      </c>
      <c r="D24" s="17">
        <f>IF(AND(D$4&gt;=1,D$4&lt;=lifetime_permits_engineering),$C$9/lifetime_permits_engineering,0)</f>
        <v/>
      </c>
      <c r="E24" s="17">
        <f>IF(AND(E$4&gt;=1,E$4&lt;=lifetime_permits_engineering),$C$9/lifetime_permits_engineering,0)</f>
        <v/>
      </c>
      <c r="F24" s="17">
        <f>IF(AND(F$4&gt;=1,F$4&lt;=lifetime_permits_engineering),$C$9/lifetime_permits_engineering,0)</f>
        <v/>
      </c>
      <c r="G24" s="17">
        <f>IF(AND(G$4&gt;=1,G$4&lt;=lifetime_permits_engineering),$C$9/lifetime_permits_engineering,0)</f>
        <v/>
      </c>
      <c r="H24" s="17">
        <f>IF(AND(H$4&gt;=1,H$4&lt;=lifetime_permits_engineering),$C$9/lifetime_permits_engineering,0)</f>
        <v/>
      </c>
      <c r="I24" s="17">
        <f>IF(AND(I$4&gt;=1,I$4&lt;=lifetime_permits_engineering),$C$9/lifetime_permits_engineering,0)</f>
        <v/>
      </c>
      <c r="J24" s="17">
        <f>IF(AND(J$4&gt;=1,J$4&lt;=lifetime_permits_engineering),$C$9/lifetime_permits_engineering,0)</f>
        <v/>
      </c>
      <c r="K24" s="17">
        <f>IF(AND(K$4&gt;=1,K$4&lt;=lifetime_permits_engineering),$C$9/lifetime_permits_engineering,0)</f>
        <v/>
      </c>
      <c r="L24" s="17">
        <f>IF(AND(L$4&gt;=1,L$4&lt;=lifetime_permits_engineering),$C$9/lifetime_permits_engineering,0)</f>
        <v/>
      </c>
      <c r="M24" s="17">
        <f>IF(AND(M$4&gt;=1,M$4&lt;=lifetime_permits_engineering),$C$9/lifetime_permits_engineering,0)</f>
        <v/>
      </c>
    </row>
    <row r="25">
      <c r="A25" t="inlineStr">
        <is>
          <t>Depreciation sustaining capex (plant life)</t>
        </is>
      </c>
      <c r="B25" t="inlineStr">
        <is>
          <t>EUR</t>
        </is>
      </c>
      <c r="C25" s="17">
        <f>SUM($C$21:C21)/lifetime_plant_equipment</f>
        <v/>
      </c>
      <c r="D25" s="17">
        <f>SUM($C$21:D21)/lifetime_plant_equipment</f>
        <v/>
      </c>
      <c r="E25" s="17">
        <f>SUM($C$21:E21)/lifetime_plant_equipment</f>
        <v/>
      </c>
      <c r="F25" s="17">
        <f>SUM($C$21:F21)/lifetime_plant_equipment</f>
        <v/>
      </c>
      <c r="G25" s="17">
        <f>SUM($C$21:G21)/lifetime_plant_equipment</f>
        <v/>
      </c>
      <c r="H25" s="17">
        <f>SUM($C$21:H21)/lifetime_plant_equipment</f>
        <v/>
      </c>
      <c r="I25" s="17">
        <f>SUM($C$21:I21)/lifetime_plant_equipment</f>
        <v/>
      </c>
      <c r="J25" s="17">
        <f>SUM($C$21:J21)/lifetime_plant_equipment</f>
        <v/>
      </c>
      <c r="K25" s="17">
        <f>SUM($C$21:K21)/lifetime_plant_equipment</f>
        <v/>
      </c>
      <c r="L25" s="17">
        <f>SUM($C$21:L21)/lifetime_plant_equipment</f>
        <v/>
      </c>
      <c r="M25" s="17">
        <f>SUM($C$21:M21)/lifetime_plant_equipment</f>
        <v/>
      </c>
    </row>
    <row r="26">
      <c r="A26" s="2" t="inlineStr">
        <is>
          <t>Total depreciation &amp; amortisation</t>
        </is>
      </c>
      <c r="B26" t="inlineStr">
        <is>
          <t>EUR</t>
        </is>
      </c>
      <c r="C26" s="18">
        <f>C22+C23+C24+C25</f>
        <v/>
      </c>
      <c r="D26" s="18">
        <f>D22+D23+D24+D25</f>
        <v/>
      </c>
      <c r="E26" s="18">
        <f>E22+E23+E24+E25</f>
        <v/>
      </c>
      <c r="F26" s="18">
        <f>F22+F23+F24+F25</f>
        <v/>
      </c>
      <c r="G26" s="18">
        <f>G22+G23+G24+G25</f>
        <v/>
      </c>
      <c r="H26" s="18">
        <f>H22+H23+H24+H25</f>
        <v/>
      </c>
      <c r="I26" s="18">
        <f>I22+I23+I24+I25</f>
        <v/>
      </c>
      <c r="J26" s="18">
        <f>J22+J23+J24+J25</f>
        <v/>
      </c>
      <c r="K26" s="18">
        <f>K22+K23+K24+K25</f>
        <v/>
      </c>
      <c r="L26" s="18">
        <f>L22+L23+L24+L25</f>
        <v/>
      </c>
      <c r="M26" s="18">
        <f>M22+M23+M24+M25</f>
        <v/>
      </c>
    </row>
    <row r="27">
      <c r="A27" t="inlineStr">
        <is>
          <t>Memo: net book value end of year (excl. land)</t>
        </is>
      </c>
      <c r="B27" t="inlineStr">
        <is>
          <t>EUR</t>
        </is>
      </c>
      <c r="C27" s="17">
        <f>SUM($C$12:C12)-$C$11+SUM($C$21:C21)-SUM($C$26:C26)</f>
        <v/>
      </c>
      <c r="D27" s="17">
        <f>SUM($C$12:D12)-$C$11+SUM($C$21:D21)-SUM($C$26:D26)</f>
        <v/>
      </c>
      <c r="E27" s="17">
        <f>SUM($C$12:E12)-$C$11+SUM($C$21:E21)-SUM($C$26:E26)</f>
        <v/>
      </c>
      <c r="F27" s="17">
        <f>SUM($C$12:F12)-$C$11+SUM($C$21:F21)-SUM($C$26:F26)</f>
        <v/>
      </c>
      <c r="G27" s="17">
        <f>SUM($C$12:G12)-$C$11+SUM($C$21:G21)-SUM($C$26:G26)</f>
        <v/>
      </c>
      <c r="H27" s="17">
        <f>SUM($C$12:H12)-$C$11+SUM($C$21:H21)-SUM($C$26:H26)</f>
        <v/>
      </c>
      <c r="I27" s="17">
        <f>SUM($C$12:I12)-$C$11+SUM($C$21:I21)-SUM($C$26:I26)</f>
        <v/>
      </c>
      <c r="J27" s="17">
        <f>SUM($C$12:J12)-$C$11+SUM($C$21:J21)-SUM($C$26:J26)</f>
        <v/>
      </c>
      <c r="K27" s="17">
        <f>SUM($C$12:K12)-$C$11+SUM($C$21:K21)-SUM($C$26:K26)</f>
        <v/>
      </c>
      <c r="L27" s="17">
        <f>SUM($C$12:L12)-$C$11+SUM($C$21:L21)-SUM($C$26:L26)</f>
        <v/>
      </c>
      <c r="M27" s="17">
        <f>SUM($C$12:M12)-$C$11+SUM($C$21:M21)-SUM($C$26:M26)</f>
        <v/>
      </c>
    </row>
    <row r="28">
      <c r="A28" t="inlineStr">
        <is>
          <t>Salvage value in t=10 (= the ONLY terminal value)</t>
        </is>
      </c>
      <c r="B28" t="inlineStr">
        <is>
          <t>EUR</t>
        </is>
      </c>
      <c r="C28" s="17">
        <f>IF(C$4=10,salvage_value_yr10_pct_of_plant_civil_capex/100*$C$13,0)</f>
        <v/>
      </c>
      <c r="D28" s="17">
        <f>IF(D$4=10,salvage_value_yr10_pct_of_plant_civil_capex/100*$C$13,0)</f>
        <v/>
      </c>
      <c r="E28" s="17">
        <f>IF(E$4=10,salvage_value_yr10_pct_of_plant_civil_capex/100*$C$13,0)</f>
        <v/>
      </c>
      <c r="F28" s="17">
        <f>IF(F$4=10,salvage_value_yr10_pct_of_plant_civil_capex/100*$C$13,0)</f>
        <v/>
      </c>
      <c r="G28" s="17">
        <f>IF(G$4=10,salvage_value_yr10_pct_of_plant_civil_capex/100*$C$13,0)</f>
        <v/>
      </c>
      <c r="H28" s="17">
        <f>IF(H$4=10,salvage_value_yr10_pct_of_plant_civil_capex/100*$C$13,0)</f>
        <v/>
      </c>
      <c r="I28" s="17">
        <f>IF(I$4=10,salvage_value_yr10_pct_of_plant_civil_capex/100*$C$13,0)</f>
        <v/>
      </c>
      <c r="J28" s="17">
        <f>IF(J$4=10,salvage_value_yr10_pct_of_plant_civil_capex/100*$C$13,0)</f>
        <v/>
      </c>
      <c r="K28" s="17">
        <f>IF(K$4=10,salvage_value_yr10_pct_of_plant_civil_capex/100*$C$13,0)</f>
        <v/>
      </c>
      <c r="L28" s="17">
        <f>IF(L$4=10,salvage_value_yr10_pct_of_plant_civil_capex/100*$C$13,0)</f>
        <v/>
      </c>
      <c r="M28" s="17">
        <f>IF(M$4=10,salvage_value_yr10_pct_of_plant_civil_capex/100*$C$13,0)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Volume, prices and revenue</t>
        </is>
      </c>
    </row>
    <row r="2">
      <c r="A2" s="5" t="inlineStr">
        <is>
          <t>Plant-average price over all strength classes (Agent 5). Premium only on circular volume.</t>
        </is>
      </c>
    </row>
    <row r="3">
      <c r="A3" s="13" t="inlineStr">
        <is>
          <t>Year</t>
        </is>
      </c>
      <c r="B3" s="13" t="inlineStr">
        <is>
          <t>unit</t>
        </is>
      </c>
      <c r="C3" s="14">
        <f>2026+C4</f>
        <v/>
      </c>
      <c r="D3" s="14">
        <f>2026+D4</f>
        <v/>
      </c>
      <c r="E3" s="14">
        <f>2026+E4</f>
        <v/>
      </c>
      <c r="F3" s="14">
        <f>2026+F4</f>
        <v/>
      </c>
      <c r="G3" s="14">
        <f>2026+G4</f>
        <v/>
      </c>
      <c r="H3" s="14">
        <f>2026+H4</f>
        <v/>
      </c>
      <c r="I3" s="14">
        <f>2026+I4</f>
        <v/>
      </c>
      <c r="J3" s="14">
        <f>2026+J4</f>
        <v/>
      </c>
      <c r="K3" s="14">
        <f>2026+K4</f>
        <v/>
      </c>
      <c r="L3" s="14">
        <f>2026+L4</f>
        <v/>
      </c>
      <c r="M3" s="14">
        <f>2026+M4</f>
        <v/>
      </c>
    </row>
    <row r="4">
      <c r="A4" s="13" t="inlineStr">
        <is>
          <t>t (year index)</t>
        </is>
      </c>
      <c r="B4" s="15" t="n"/>
      <c r="C4" s="14" t="n">
        <v>0</v>
      </c>
      <c r="D4" s="14" t="n">
        <v>1</v>
      </c>
      <c r="E4" s="14" t="n">
        <v>2</v>
      </c>
      <c r="F4" s="14" t="n">
        <v>3</v>
      </c>
      <c r="G4" s="14" t="n">
        <v>4</v>
      </c>
      <c r="H4" s="14" t="n">
        <v>5</v>
      </c>
      <c r="I4" s="14" t="n">
        <v>6</v>
      </c>
      <c r="J4" s="14" t="n">
        <v>7</v>
      </c>
      <c r="K4" s="14" t="n">
        <v>8</v>
      </c>
      <c r="L4" s="14" t="n">
        <v>9</v>
      </c>
      <c r="M4" s="14" t="n">
        <v>10</v>
      </c>
    </row>
    <row r="6">
      <c r="A6" s="16" t="inlineStr">
        <is>
          <t>Volume</t>
        </is>
      </c>
    </row>
    <row r="7">
      <c r="A7" t="inlineStr">
        <is>
          <t>Utilisation of steady-state output (ramp-up)</t>
        </is>
      </c>
      <c r="B7" t="inlineStr">
        <is>
          <t>%</t>
        </is>
      </c>
      <c r="C7" s="19" t="n">
        <v>0</v>
      </c>
      <c r="D7" s="19">
        <f>ramp_year1_pct_of_steady/100</f>
        <v/>
      </c>
      <c r="E7" s="19">
        <f>ramp_year2_pct_of_steady/100</f>
        <v/>
      </c>
      <c r="F7" s="19">
        <f>ramp_year3plus_pct_of_steady/100</f>
        <v/>
      </c>
      <c r="G7" s="19">
        <f>ramp_year3plus_pct_of_steady/100</f>
        <v/>
      </c>
      <c r="H7" s="19">
        <f>ramp_year3plus_pct_of_steady/100</f>
        <v/>
      </c>
      <c r="I7" s="19">
        <f>ramp_year3plus_pct_of_steady/100</f>
        <v/>
      </c>
      <c r="J7" s="19">
        <f>ramp_year3plus_pct_of_steady/100</f>
        <v/>
      </c>
      <c r="K7" s="19">
        <f>ramp_year3plus_pct_of_steady/100</f>
        <v/>
      </c>
      <c r="L7" s="19">
        <f>ramp_year3plus_pct_of_steady/100</f>
        <v/>
      </c>
      <c r="M7" s="19">
        <f>ramp_year3plus_pct_of_steady/100</f>
        <v/>
      </c>
    </row>
    <row r="8">
      <c r="A8" s="2" t="inlineStr">
        <is>
          <t>Volume sold</t>
        </is>
      </c>
      <c r="B8" t="inlineStr">
        <is>
          <t>m3</t>
        </is>
      </c>
      <c r="C8" s="18">
        <f>output_steady_state*C7</f>
        <v/>
      </c>
      <c r="D8" s="18">
        <f>output_steady_state*D7</f>
        <v/>
      </c>
      <c r="E8" s="18">
        <f>output_steady_state*E7</f>
        <v/>
      </c>
      <c r="F8" s="18">
        <f>output_steady_state*F7</f>
        <v/>
      </c>
      <c r="G8" s="18">
        <f>output_steady_state*G7</f>
        <v/>
      </c>
      <c r="H8" s="18">
        <f>output_steady_state*H7</f>
        <v/>
      </c>
      <c r="I8" s="18">
        <f>output_steady_state*I7</f>
        <v/>
      </c>
      <c r="J8" s="18">
        <f>output_steady_state*J7</f>
        <v/>
      </c>
      <c r="K8" s="18">
        <f>output_steady_state*K7</f>
        <v/>
      </c>
      <c r="L8" s="18">
        <f>output_steady_state*L7</f>
        <v/>
      </c>
      <c r="M8" s="18">
        <f>output_steady_state*M7</f>
        <v/>
      </c>
    </row>
    <row r="9">
      <c r="A9" t="inlineStr">
        <is>
          <t xml:space="preserve">  of which circular mixes (50% coarse RCA)</t>
        </is>
      </c>
      <c r="B9" t="inlineStr">
        <is>
          <t>m3</t>
        </is>
      </c>
      <c r="C9" s="17">
        <f>C8*circular_share_of_volume/100</f>
        <v/>
      </c>
      <c r="D9" s="17">
        <f>D8*circular_share_of_volume/100</f>
        <v/>
      </c>
      <c r="E9" s="17">
        <f>E8*circular_share_of_volume/100</f>
        <v/>
      </c>
      <c r="F9" s="17">
        <f>F8*circular_share_of_volume/100</f>
        <v/>
      </c>
      <c r="G9" s="17">
        <f>G8*circular_share_of_volume/100</f>
        <v/>
      </c>
      <c r="H9" s="17">
        <f>H8*circular_share_of_volume/100</f>
        <v/>
      </c>
      <c r="I9" s="17">
        <f>I8*circular_share_of_volume/100</f>
        <v/>
      </c>
      <c r="J9" s="17">
        <f>J8*circular_share_of_volume/100</f>
        <v/>
      </c>
      <c r="K9" s="17">
        <f>K8*circular_share_of_volume/100</f>
        <v/>
      </c>
      <c r="L9" s="17">
        <f>L8*circular_share_of_volume/100</f>
        <v/>
      </c>
      <c r="M9" s="17">
        <f>M8*circular_share_of_volume/100</f>
        <v/>
      </c>
    </row>
    <row r="10">
      <c r="A10" t="inlineStr">
        <is>
          <t xml:space="preserve">  of which standard CEM III/B mixes</t>
        </is>
      </c>
      <c r="B10" t="inlineStr">
        <is>
          <t>m3</t>
        </is>
      </c>
      <c r="C10" s="17">
        <f>C8-C9</f>
        <v/>
      </c>
      <c r="D10" s="17">
        <f>D8-D9</f>
        <v/>
      </c>
      <c r="E10" s="17">
        <f>E8-E9</f>
        <v/>
      </c>
      <c r="F10" s="17">
        <f>F8-F9</f>
        <v/>
      </c>
      <c r="G10" s="17">
        <f>G8-G9</f>
        <v/>
      </c>
      <c r="H10" s="17">
        <f>H8-H9</f>
        <v/>
      </c>
      <c r="I10" s="17">
        <f>I8-I9</f>
        <v/>
      </c>
      <c r="J10" s="17">
        <f>J8-J9</f>
        <v/>
      </c>
      <c r="K10" s="17">
        <f>K8-K9</f>
        <v/>
      </c>
      <c r="L10" s="17">
        <f>L8-L9</f>
        <v/>
      </c>
      <c r="M10" s="17">
        <f>M8-M9</f>
        <v/>
      </c>
    </row>
    <row r="12">
      <c r="A12" s="16" t="inlineStr">
        <is>
          <t>Cement price path (CEM III/B, delivered)</t>
        </is>
      </c>
    </row>
    <row r="13">
      <c r="A13" t="inlineStr">
        <is>
          <t>Carbon cost in CEM III/B price (ETS/CBAM)</t>
        </is>
      </c>
      <c r="B13" t="inlineStr">
        <is>
          <t>EUR/t</t>
        </is>
      </c>
      <c r="C13" s="20">
        <f>carbon_cost_cem3b_2026</f>
        <v/>
      </c>
      <c r="D13" s="20">
        <f>carbon_cost_cem3b_2027</f>
        <v/>
      </c>
      <c r="E13" s="20">
        <f>carbon_cost_cem3b_2028</f>
        <v/>
      </c>
      <c r="F13" s="20">
        <f>carbon_cost_cem3b_2029</f>
        <v/>
      </c>
      <c r="G13" s="20">
        <f>carbon_cost_cem3b_2030</f>
        <v/>
      </c>
      <c r="H13" s="20">
        <f>carbon_cost_cem3b_2031</f>
        <v/>
      </c>
      <c r="I13" s="20">
        <f>carbon_cost_cem3b_2032</f>
        <v/>
      </c>
      <c r="J13" s="20">
        <f>carbon_cost_cem3b_2033</f>
        <v/>
      </c>
      <c r="K13" s="20">
        <f>carbon_cost_cem3b_2034</f>
        <v/>
      </c>
      <c r="L13" s="20">
        <f>carbon_cost_cem3b_2035</f>
        <v/>
      </c>
      <c r="M13" s="20">
        <f>carbon_cost_cem3b_2036</f>
        <v/>
      </c>
    </row>
    <row r="14">
      <c r="A14" t="inlineStr">
        <is>
          <t>Slag-scarcity uplift from 2031</t>
        </is>
      </c>
      <c r="B14" t="inlineStr">
        <is>
          <t>EUR/t</t>
        </is>
      </c>
      <c r="C14" s="20">
        <f>IF(C$3&gt;=2031,cem3b_slag_scarcity_uplift_2031plus/100*price_cem3b_2026_delivered,0)</f>
        <v/>
      </c>
      <c r="D14" s="20">
        <f>IF(D$3&gt;=2031,cem3b_slag_scarcity_uplift_2031plus/100*price_cem3b_2026_delivered,0)</f>
        <v/>
      </c>
      <c r="E14" s="20">
        <f>IF(E$3&gt;=2031,cem3b_slag_scarcity_uplift_2031plus/100*price_cem3b_2026_delivered,0)</f>
        <v/>
      </c>
      <c r="F14" s="20">
        <f>IF(F$3&gt;=2031,cem3b_slag_scarcity_uplift_2031plus/100*price_cem3b_2026_delivered,0)</f>
        <v/>
      </c>
      <c r="G14" s="20">
        <f>IF(G$3&gt;=2031,cem3b_slag_scarcity_uplift_2031plus/100*price_cem3b_2026_delivered,0)</f>
        <v/>
      </c>
      <c r="H14" s="20">
        <f>IF(H$3&gt;=2031,cem3b_slag_scarcity_uplift_2031plus/100*price_cem3b_2026_delivered,0)</f>
        <v/>
      </c>
      <c r="I14" s="20">
        <f>IF(I$3&gt;=2031,cem3b_slag_scarcity_uplift_2031plus/100*price_cem3b_2026_delivered,0)</f>
        <v/>
      </c>
      <c r="J14" s="20">
        <f>IF(J$3&gt;=2031,cem3b_slag_scarcity_uplift_2031plus/100*price_cem3b_2026_delivered,0)</f>
        <v/>
      </c>
      <c r="K14" s="20">
        <f>IF(K$3&gt;=2031,cem3b_slag_scarcity_uplift_2031plus/100*price_cem3b_2026_delivered,0)</f>
        <v/>
      </c>
      <c r="L14" s="20">
        <f>IF(L$3&gt;=2031,cem3b_slag_scarcity_uplift_2031plus/100*price_cem3b_2026_delivered,0)</f>
        <v/>
      </c>
      <c r="M14" s="20">
        <f>IF(M$3&gt;=2031,cem3b_slag_scarcity_uplift_2031plus/100*price_cem3b_2026_delivered,0)</f>
        <v/>
      </c>
    </row>
    <row r="15">
      <c r="A15" s="2" t="inlineStr">
        <is>
          <t>CEM III/B price</t>
        </is>
      </c>
      <c r="B15" t="inlineStr">
        <is>
          <t>EUR/t</t>
        </is>
      </c>
      <c r="C15" s="9">
        <f>price_cem3b_2026_delivered+cement_carbon_passthrough/100*(C13-$C$13)+C14</f>
        <v/>
      </c>
      <c r="D15" s="9">
        <f>price_cem3b_2026_delivered+cement_carbon_passthrough/100*(D13-$C$13)+D14</f>
        <v/>
      </c>
      <c r="E15" s="9">
        <f>price_cem3b_2026_delivered+cement_carbon_passthrough/100*(E13-$C$13)+E14</f>
        <v/>
      </c>
      <c r="F15" s="9">
        <f>price_cem3b_2026_delivered+cement_carbon_passthrough/100*(F13-$C$13)+F14</f>
        <v/>
      </c>
      <c r="G15" s="9">
        <f>price_cem3b_2026_delivered+cement_carbon_passthrough/100*(G13-$C$13)+G14</f>
        <v/>
      </c>
      <c r="H15" s="9">
        <f>price_cem3b_2026_delivered+cement_carbon_passthrough/100*(H13-$C$13)+H14</f>
        <v/>
      </c>
      <c r="I15" s="9">
        <f>price_cem3b_2026_delivered+cement_carbon_passthrough/100*(I13-$C$13)+I14</f>
        <v/>
      </c>
      <c r="J15" s="9">
        <f>price_cem3b_2026_delivered+cement_carbon_passthrough/100*(J13-$C$13)+J14</f>
        <v/>
      </c>
      <c r="K15" s="9">
        <f>price_cem3b_2026_delivered+cement_carbon_passthrough/100*(K13-$C$13)+K14</f>
        <v/>
      </c>
      <c r="L15" s="9">
        <f>price_cem3b_2026_delivered+cement_carbon_passthrough/100*(L13-$C$13)+L14</f>
        <v/>
      </c>
      <c r="M15" s="9">
        <f>price_cem3b_2026_delivered+cement_carbon_passthrough/100*(M13-$C$13)+M14</f>
        <v/>
      </c>
    </row>
    <row r="16">
      <c r="A16" t="inlineStr">
        <is>
          <t>Market-wide binder cost increase vs 2026 (avg mix)</t>
        </is>
      </c>
      <c r="B16" t="inlineStr">
        <is>
          <t>EUR/m3</t>
        </is>
      </c>
      <c r="C16" s="20">
        <f>mix_plant_avg_binder_conv/1000*(C15-price_cem3b_2026_delivered)</f>
        <v/>
      </c>
      <c r="D16" s="20">
        <f>mix_plant_avg_binder_conv/1000*(D15-price_cem3b_2026_delivered)</f>
        <v/>
      </c>
      <c r="E16" s="20">
        <f>mix_plant_avg_binder_conv/1000*(E15-price_cem3b_2026_delivered)</f>
        <v/>
      </c>
      <c r="F16" s="20">
        <f>mix_plant_avg_binder_conv/1000*(F15-price_cem3b_2026_delivered)</f>
        <v/>
      </c>
      <c r="G16" s="20">
        <f>mix_plant_avg_binder_conv/1000*(G15-price_cem3b_2026_delivered)</f>
        <v/>
      </c>
      <c r="H16" s="20">
        <f>mix_plant_avg_binder_conv/1000*(H15-price_cem3b_2026_delivered)</f>
        <v/>
      </c>
      <c r="I16" s="20">
        <f>mix_plant_avg_binder_conv/1000*(I15-price_cem3b_2026_delivered)</f>
        <v/>
      </c>
      <c r="J16" s="20">
        <f>mix_plant_avg_binder_conv/1000*(J15-price_cem3b_2026_delivered)</f>
        <v/>
      </c>
      <c r="K16" s="20">
        <f>mix_plant_avg_binder_conv/1000*(K15-price_cem3b_2026_delivered)</f>
        <v/>
      </c>
      <c r="L16" s="20">
        <f>mix_plant_avg_binder_conv/1000*(L15-price_cem3b_2026_delivered)</f>
        <v/>
      </c>
      <c r="M16" s="20">
        <f>mix_plant_avg_binder_conv/1000*(M15-price_cem3b_2026_delivered)</f>
        <v/>
      </c>
    </row>
    <row r="18">
      <c r="A18" s="16" t="inlineStr">
        <is>
          <t>Prices (delivered, plant average)</t>
        </is>
      </c>
    </row>
    <row r="19">
      <c r="A19" t="inlineStr">
        <is>
          <t>Market price, plant average (incl. pass-through of binder cost)</t>
        </is>
      </c>
      <c r="B19" t="inlineStr">
        <is>
          <t>EUR/m3</t>
        </is>
      </c>
      <c r="C19" s="20">
        <f>price_plant_avg_all_classes*(1+price_real_escalation/100)^C$4+concrete_price_passthrough_of_market_binder_cost/100*C16+opt_price_delta_per_m3</f>
        <v/>
      </c>
      <c r="D19" s="20">
        <f>price_plant_avg_all_classes*(1+price_real_escalation/100)^D$4+concrete_price_passthrough_of_market_binder_cost/100*D16+opt_price_delta_per_m3</f>
        <v/>
      </c>
      <c r="E19" s="20">
        <f>price_plant_avg_all_classes*(1+price_real_escalation/100)^E$4+concrete_price_passthrough_of_market_binder_cost/100*E16+opt_price_delta_per_m3</f>
        <v/>
      </c>
      <c r="F19" s="20">
        <f>price_plant_avg_all_classes*(1+price_real_escalation/100)^F$4+concrete_price_passthrough_of_market_binder_cost/100*F16+opt_price_delta_per_m3</f>
        <v/>
      </c>
      <c r="G19" s="20">
        <f>price_plant_avg_all_classes*(1+price_real_escalation/100)^G$4+concrete_price_passthrough_of_market_binder_cost/100*G16+opt_price_delta_per_m3</f>
        <v/>
      </c>
      <c r="H19" s="20">
        <f>price_plant_avg_all_classes*(1+price_real_escalation/100)^H$4+concrete_price_passthrough_of_market_binder_cost/100*H16+opt_price_delta_per_m3</f>
        <v/>
      </c>
      <c r="I19" s="20">
        <f>price_plant_avg_all_classes*(1+price_real_escalation/100)^I$4+concrete_price_passthrough_of_market_binder_cost/100*I16+opt_price_delta_per_m3</f>
        <v/>
      </c>
      <c r="J19" s="20">
        <f>price_plant_avg_all_classes*(1+price_real_escalation/100)^J$4+concrete_price_passthrough_of_market_binder_cost/100*J16+opt_price_delta_per_m3</f>
        <v/>
      </c>
      <c r="K19" s="20">
        <f>price_plant_avg_all_classes*(1+price_real_escalation/100)^K$4+concrete_price_passthrough_of_market_binder_cost/100*K16+opt_price_delta_per_m3</f>
        <v/>
      </c>
      <c r="L19" s="20">
        <f>price_plant_avg_all_classes*(1+price_real_escalation/100)^L$4+concrete_price_passthrough_of_market_binder_cost/100*L16+opt_price_delta_per_m3</f>
        <v/>
      </c>
      <c r="M19" s="20">
        <f>price_plant_avg_all_classes*(1+price_real_escalation/100)^M$4+concrete_price_passthrough_of_market_binder_cost/100*M16+opt_price_delta_per_m3</f>
        <v/>
      </c>
    </row>
    <row r="20">
      <c r="A20" t="inlineStr">
        <is>
          <t>Blended green premium on circular volume</t>
        </is>
      </c>
      <c r="B20" t="inlineStr">
        <is>
          <t>%</t>
        </is>
      </c>
      <c r="C20" s="21">
        <f>public_share_of_sales/100*green_premium_public/100+(1-public_share_of_sales/100)*green_premium_private/100</f>
        <v/>
      </c>
    </row>
    <row r="21">
      <c r="A21" t="inlineStr">
        <is>
          <t>Price circular mixes</t>
        </is>
      </c>
      <c r="B21" t="inlineStr">
        <is>
          <t>EUR/m3</t>
        </is>
      </c>
      <c r="C21" s="20">
        <f>C19*(1+$C$20)</f>
        <v/>
      </c>
      <c r="D21" s="20">
        <f>D19*(1+$C$20)</f>
        <v/>
      </c>
      <c r="E21" s="20">
        <f>E19*(1+$C$20)</f>
        <v/>
      </c>
      <c r="F21" s="20">
        <f>F19*(1+$C$20)</f>
        <v/>
      </c>
      <c r="G21" s="20">
        <f>G19*(1+$C$20)</f>
        <v/>
      </c>
      <c r="H21" s="20">
        <f>H19*(1+$C$20)</f>
        <v/>
      </c>
      <c r="I21" s="20">
        <f>I19*(1+$C$20)</f>
        <v/>
      </c>
      <c r="J21" s="20">
        <f>J19*(1+$C$20)</f>
        <v/>
      </c>
      <c r="K21" s="20">
        <f>K19*(1+$C$20)</f>
        <v/>
      </c>
      <c r="L21" s="20">
        <f>L19*(1+$C$20)</f>
        <v/>
      </c>
      <c r="M21" s="20">
        <f>M19*(1+$C$20)</f>
        <v/>
      </c>
    </row>
    <row r="22">
      <c r="A22" t="inlineStr">
        <is>
          <t>Price standard mixes</t>
        </is>
      </c>
      <c r="B22" t="inlineStr">
        <is>
          <t>EUR/m3</t>
        </is>
      </c>
      <c r="C22" s="20">
        <f>C19</f>
        <v/>
      </c>
      <c r="D22" s="20">
        <f>D19</f>
        <v/>
      </c>
      <c r="E22" s="20">
        <f>E19</f>
        <v/>
      </c>
      <c r="F22" s="20">
        <f>F19</f>
        <v/>
      </c>
      <c r="G22" s="20">
        <f>G19</f>
        <v/>
      </c>
      <c r="H22" s="20">
        <f>H19</f>
        <v/>
      </c>
      <c r="I22" s="20">
        <f>I19</f>
        <v/>
      </c>
      <c r="J22" s="20">
        <f>J19</f>
        <v/>
      </c>
      <c r="K22" s="20">
        <f>K19</f>
        <v/>
      </c>
      <c r="L22" s="20">
        <f>L19</f>
        <v/>
      </c>
      <c r="M22" s="20">
        <f>M19</f>
        <v/>
      </c>
    </row>
    <row r="24">
      <c r="A24" s="16" t="inlineStr">
        <is>
          <t>Revenue</t>
        </is>
      </c>
    </row>
    <row r="25">
      <c r="A25" t="inlineStr">
        <is>
          <t>Revenue circular mixes</t>
        </is>
      </c>
      <c r="B25" t="inlineStr">
        <is>
          <t>EUR</t>
        </is>
      </c>
      <c r="C25" s="17">
        <f>C9*C21</f>
        <v/>
      </c>
      <c r="D25" s="17">
        <f>D9*D21</f>
        <v/>
      </c>
      <c r="E25" s="17">
        <f>E9*E21</f>
        <v/>
      </c>
      <c r="F25" s="17">
        <f>F9*F21</f>
        <v/>
      </c>
      <c r="G25" s="17">
        <f>G9*G21</f>
        <v/>
      </c>
      <c r="H25" s="17">
        <f>H9*H21</f>
        <v/>
      </c>
      <c r="I25" s="17">
        <f>I9*I21</f>
        <v/>
      </c>
      <c r="J25" s="17">
        <f>J9*J21</f>
        <v/>
      </c>
      <c r="K25" s="17">
        <f>K9*K21</f>
        <v/>
      </c>
      <c r="L25" s="17">
        <f>L9*L21</f>
        <v/>
      </c>
      <c r="M25" s="17">
        <f>M9*M21</f>
        <v/>
      </c>
    </row>
    <row r="26">
      <c r="A26" t="inlineStr">
        <is>
          <t>Revenue standard mixes</t>
        </is>
      </c>
      <c r="B26" t="inlineStr">
        <is>
          <t>EUR</t>
        </is>
      </c>
      <c r="C26" s="17">
        <f>C10*C22</f>
        <v/>
      </c>
      <c r="D26" s="17">
        <f>D10*D22</f>
        <v/>
      </c>
      <c r="E26" s="17">
        <f>E10*E22</f>
        <v/>
      </c>
      <c r="F26" s="17">
        <f>F10*F22</f>
        <v/>
      </c>
      <c r="G26" s="17">
        <f>G10*G22</f>
        <v/>
      </c>
      <c r="H26" s="17">
        <f>H10*H22</f>
        <v/>
      </c>
      <c r="I26" s="17">
        <f>I10*I22</f>
        <v/>
      </c>
      <c r="J26" s="17">
        <f>J10*J22</f>
        <v/>
      </c>
      <c r="K26" s="17">
        <f>K10*K22</f>
        <v/>
      </c>
      <c r="L26" s="17">
        <f>L10*L22</f>
        <v/>
      </c>
      <c r="M26" s="17">
        <f>M10*M22</f>
        <v/>
      </c>
    </row>
    <row r="27">
      <c r="A27" t="inlineStr">
        <is>
          <t>Option hook: extra revenue</t>
        </is>
      </c>
      <c r="B27" t="inlineStr">
        <is>
          <t>EUR</t>
        </is>
      </c>
      <c r="C27" s="17" t="n">
        <v>0</v>
      </c>
      <c r="D27" s="17">
        <f>opt_extra_revenue_per_yr</f>
        <v/>
      </c>
      <c r="E27" s="17">
        <f>opt_extra_revenue_per_yr</f>
        <v/>
      </c>
      <c r="F27" s="17">
        <f>opt_extra_revenue_per_yr</f>
        <v/>
      </c>
      <c r="G27" s="17">
        <f>opt_extra_revenue_per_yr</f>
        <v/>
      </c>
      <c r="H27" s="17">
        <f>opt_extra_revenue_per_yr</f>
        <v/>
      </c>
      <c r="I27" s="17">
        <f>opt_extra_revenue_per_yr</f>
        <v/>
      </c>
      <c r="J27" s="17">
        <f>opt_extra_revenue_per_yr</f>
        <v/>
      </c>
      <c r="K27" s="17">
        <f>opt_extra_revenue_per_yr</f>
        <v/>
      </c>
      <c r="L27" s="17">
        <f>opt_extra_revenue_per_yr</f>
        <v/>
      </c>
      <c r="M27" s="17">
        <f>opt_extra_revenue_per_yr</f>
        <v/>
      </c>
    </row>
    <row r="28">
      <c r="A28" s="2" t="inlineStr">
        <is>
          <t>Total revenue</t>
        </is>
      </c>
      <c r="B28" t="inlineStr">
        <is>
          <t>EUR</t>
        </is>
      </c>
      <c r="C28" s="18">
        <f>C25+C26+C27</f>
        <v/>
      </c>
      <c r="D28" s="18">
        <f>D25+D26+D27</f>
        <v/>
      </c>
      <c r="E28" s="18">
        <f>E25+E26+E27</f>
        <v/>
      </c>
      <c r="F28" s="18">
        <f>F25+F26+F27</f>
        <v/>
      </c>
      <c r="G28" s="18">
        <f>G25+G26+G27</f>
        <v/>
      </c>
      <c r="H28" s="18">
        <f>H25+H26+H27</f>
        <v/>
      </c>
      <c r="I28" s="18">
        <f>I25+I26+I27</f>
        <v/>
      </c>
      <c r="J28" s="18">
        <f>J25+J26+J27</f>
        <v/>
      </c>
      <c r="K28" s="18">
        <f>K25+K26+K27</f>
        <v/>
      </c>
      <c r="L28" s="18">
        <f>L25+L26+L27</f>
        <v/>
      </c>
      <c r="M28" s="18">
        <f>M25+M26+M27</f>
        <v/>
      </c>
    </row>
    <row r="29">
      <c r="A29" t="inlineStr">
        <is>
          <t>Memo: average realised price</t>
        </is>
      </c>
      <c r="B29" t="inlineStr">
        <is>
          <t>EUR/m3</t>
        </is>
      </c>
      <c r="C29" s="20">
        <f>IF(C8&gt;0,(C25+C26)/C8,0)</f>
        <v/>
      </c>
      <c r="D29" s="20">
        <f>IF(D8&gt;0,(D25+D26)/D8,0)</f>
        <v/>
      </c>
      <c r="E29" s="20">
        <f>IF(E8&gt;0,(E25+E26)/E8,0)</f>
        <v/>
      </c>
      <c r="F29" s="20">
        <f>IF(F8&gt;0,(F25+F26)/F8,0)</f>
        <v/>
      </c>
      <c r="G29" s="20">
        <f>IF(G8&gt;0,(G25+G26)/G8,0)</f>
        <v/>
      </c>
      <c r="H29" s="20">
        <f>IF(H8&gt;0,(H25+H26)/H8,0)</f>
        <v/>
      </c>
      <c r="I29" s="20">
        <f>IF(I8&gt;0,(I25+I26)/I8,0)</f>
        <v/>
      </c>
      <c r="J29" s="20">
        <f>IF(J8&gt;0,(J25+J26)/J8,0)</f>
        <v/>
      </c>
      <c r="K29" s="20">
        <f>IF(K8&gt;0,(K25+K26)/K8,0)</f>
        <v/>
      </c>
      <c r="L29" s="20">
        <f>IF(L8&gt;0,(L25+L26)/L8,0)</f>
        <v/>
      </c>
      <c r="M29" s="20">
        <f>IF(M8&gt;0,(M25+M26)/M8,0)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Operating costs (EUR, real 2026)</t>
        </is>
      </c>
    </row>
    <row r="2">
      <c r="A2" s="5" t="inlineStr">
        <is>
          <t>Materials priced per m3 from the recipes; fixed costs from operating year 1.</t>
        </is>
      </c>
    </row>
    <row r="3">
      <c r="A3" s="13" t="inlineStr">
        <is>
          <t>Year</t>
        </is>
      </c>
      <c r="B3" s="13" t="inlineStr">
        <is>
          <t>unit</t>
        </is>
      </c>
      <c r="C3" s="14">
        <f>2026+C4</f>
        <v/>
      </c>
      <c r="D3" s="14">
        <f>2026+D4</f>
        <v/>
      </c>
      <c r="E3" s="14">
        <f>2026+E4</f>
        <v/>
      </c>
      <c r="F3" s="14">
        <f>2026+F4</f>
        <v/>
      </c>
      <c r="G3" s="14">
        <f>2026+G4</f>
        <v/>
      </c>
      <c r="H3" s="14">
        <f>2026+H4</f>
        <v/>
      </c>
      <c r="I3" s="14">
        <f>2026+I4</f>
        <v/>
      </c>
      <c r="J3" s="14">
        <f>2026+J4</f>
        <v/>
      </c>
      <c r="K3" s="14">
        <f>2026+K4</f>
        <v/>
      </c>
      <c r="L3" s="14">
        <f>2026+L4</f>
        <v/>
      </c>
      <c r="M3" s="14">
        <f>2026+M4</f>
        <v/>
      </c>
    </row>
    <row r="4">
      <c r="A4" s="13" t="inlineStr">
        <is>
          <t>t (year index)</t>
        </is>
      </c>
      <c r="B4" s="15" t="n"/>
      <c r="C4" s="14" t="n">
        <v>0</v>
      </c>
      <c r="D4" s="14" t="n">
        <v>1</v>
      </c>
      <c r="E4" s="14" t="n">
        <v>2</v>
      </c>
      <c r="F4" s="14" t="n">
        <v>3</v>
      </c>
      <c r="G4" s="14" t="n">
        <v>4</v>
      </c>
      <c r="H4" s="14" t="n">
        <v>5</v>
      </c>
      <c r="I4" s="14" t="n">
        <v>6</v>
      </c>
      <c r="J4" s="14" t="n">
        <v>7</v>
      </c>
      <c r="K4" s="14" t="n">
        <v>8</v>
      </c>
      <c r="L4" s="14" t="n">
        <v>9</v>
      </c>
      <c r="M4" s="14" t="n">
        <v>10</v>
      </c>
    </row>
    <row r="6">
      <c r="A6" s="16" t="inlineStr">
        <is>
          <t>Unit inputs</t>
        </is>
      </c>
    </row>
    <row r="7">
      <c r="A7" t="inlineStr">
        <is>
          <t>RCA coarse delivered = ex-works + km x rate + handling</t>
        </is>
      </c>
      <c r="B7" t="inlineStr">
        <is>
          <t>EUR/t</t>
        </is>
      </c>
      <c r="C7" s="20">
        <f>price_rca_coarse_exworks+rca_transport_distance*road_haulage_rate+road_handling_per_t</f>
        <v/>
      </c>
    </row>
    <row r="8">
      <c r="A8" t="inlineStr">
        <is>
          <t>RCA lot testing + handling/pre-wetting (circular only)</t>
        </is>
      </c>
      <c r="B8" t="inlineStr">
        <is>
          <t>EUR/m3</t>
        </is>
      </c>
      <c r="C8" s="20">
        <f>mix_circ_rca_coarse/1000*(rca_lot_testing+rca_handling_prewetting)</f>
        <v/>
      </c>
    </row>
    <row r="9">
      <c r="A9" t="inlineStr">
        <is>
          <t>Energy (electricity + diesel)</t>
        </is>
      </c>
      <c r="B9" t="inlineStr">
        <is>
          <t>EUR/m3</t>
        </is>
      </c>
      <c r="C9" s="20">
        <f>electricity_use*price_electricity+diesel_use_plant*price_diesel</f>
        <v/>
      </c>
    </row>
    <row r="10">
      <c r="A10" t="inlineStr">
        <is>
          <t>Delivery by subcontracted truck mixer</t>
        </is>
      </c>
      <c r="B10" t="inlineStr">
        <is>
          <t>EUR/m3</t>
        </is>
      </c>
      <c r="C10" s="20">
        <f>delivery_fixed_per_m3+delivery_variable_per_km_oneway*delivery_avg_distance_oneway</f>
        <v/>
      </c>
    </row>
    <row r="12">
      <c r="A12" s="16" t="inlineStr">
        <is>
          <t>Raw materials per m3 - CIRCULAR mix (plant-average binder)</t>
        </is>
      </c>
    </row>
    <row r="13">
      <c r="A13" t="inlineStr">
        <is>
          <t>Cement CEM III/B</t>
        </is>
      </c>
      <c r="B13" t="inlineStr">
        <is>
          <t>EUR/m3</t>
        </is>
      </c>
      <c r="C13" s="20">
        <f>mix_plant_avg_binder_circ/1000*Revenue!C15</f>
        <v/>
      </c>
      <c r="D13" s="20">
        <f>mix_plant_avg_binder_circ/1000*Revenue!D15</f>
        <v/>
      </c>
      <c r="E13" s="20">
        <f>mix_plant_avg_binder_circ/1000*Revenue!E15</f>
        <v/>
      </c>
      <c r="F13" s="20">
        <f>mix_plant_avg_binder_circ/1000*Revenue!F15</f>
        <v/>
      </c>
      <c r="G13" s="20">
        <f>mix_plant_avg_binder_circ/1000*Revenue!G15</f>
        <v/>
      </c>
      <c r="H13" s="20">
        <f>mix_plant_avg_binder_circ/1000*Revenue!H15</f>
        <v/>
      </c>
      <c r="I13" s="20">
        <f>mix_plant_avg_binder_circ/1000*Revenue!I15</f>
        <v/>
      </c>
      <c r="J13" s="20">
        <f>mix_plant_avg_binder_circ/1000*Revenue!J15</f>
        <v/>
      </c>
      <c r="K13" s="20">
        <f>mix_plant_avg_binder_circ/1000*Revenue!K15</f>
        <v/>
      </c>
      <c r="L13" s="20">
        <f>mix_plant_avg_binder_circ/1000*Revenue!L15</f>
        <v/>
      </c>
      <c r="M13" s="20">
        <f>mix_plant_avg_binder_circ/1000*Revenue!M15</f>
        <v/>
      </c>
    </row>
    <row r="14">
      <c r="A14" t="inlineStr">
        <is>
          <t>Gravel</t>
        </is>
      </c>
      <c r="B14" t="inlineStr">
        <is>
          <t>EUR/m3</t>
        </is>
      </c>
      <c r="C14" s="20">
        <f>mix_circ_gravel/1000*price_gravel_delivered</f>
        <v/>
      </c>
      <c r="D14" s="20">
        <f>mix_circ_gravel/1000*price_gravel_delivered</f>
        <v/>
      </c>
      <c r="E14" s="20">
        <f>mix_circ_gravel/1000*price_gravel_delivered</f>
        <v/>
      </c>
      <c r="F14" s="20">
        <f>mix_circ_gravel/1000*price_gravel_delivered</f>
        <v/>
      </c>
      <c r="G14" s="20">
        <f>mix_circ_gravel/1000*price_gravel_delivered</f>
        <v/>
      </c>
      <c r="H14" s="20">
        <f>mix_circ_gravel/1000*price_gravel_delivered</f>
        <v/>
      </c>
      <c r="I14" s="20">
        <f>mix_circ_gravel/1000*price_gravel_delivered</f>
        <v/>
      </c>
      <c r="J14" s="20">
        <f>mix_circ_gravel/1000*price_gravel_delivered</f>
        <v/>
      </c>
      <c r="K14" s="20">
        <f>mix_circ_gravel/1000*price_gravel_delivered</f>
        <v/>
      </c>
      <c r="L14" s="20">
        <f>mix_circ_gravel/1000*price_gravel_delivered</f>
        <v/>
      </c>
      <c r="M14" s="20">
        <f>mix_circ_gravel/1000*price_gravel_delivered</f>
        <v/>
      </c>
    </row>
    <row r="15">
      <c r="A15" t="inlineStr">
        <is>
          <t>Recycled aggregate (coarse delivered + fine ex-works)</t>
        </is>
      </c>
      <c r="B15" t="inlineStr">
        <is>
          <t>EUR/m3</t>
        </is>
      </c>
      <c r="C15" s="20">
        <f>mix_circ_rca_coarse/1000*$C$7+mix_circ_rca_fine/1000*price_rca_fine_exworks</f>
        <v/>
      </c>
      <c r="D15" s="20">
        <f>mix_circ_rca_coarse/1000*$C$7+mix_circ_rca_fine/1000*price_rca_fine_exworks</f>
        <v/>
      </c>
      <c r="E15" s="20">
        <f>mix_circ_rca_coarse/1000*$C$7+mix_circ_rca_fine/1000*price_rca_fine_exworks</f>
        <v/>
      </c>
      <c r="F15" s="20">
        <f>mix_circ_rca_coarse/1000*$C$7+mix_circ_rca_fine/1000*price_rca_fine_exworks</f>
        <v/>
      </c>
      <c r="G15" s="20">
        <f>mix_circ_rca_coarse/1000*$C$7+mix_circ_rca_fine/1000*price_rca_fine_exworks</f>
        <v/>
      </c>
      <c r="H15" s="20">
        <f>mix_circ_rca_coarse/1000*$C$7+mix_circ_rca_fine/1000*price_rca_fine_exworks</f>
        <v/>
      </c>
      <c r="I15" s="20">
        <f>mix_circ_rca_coarse/1000*$C$7+mix_circ_rca_fine/1000*price_rca_fine_exworks</f>
        <v/>
      </c>
      <c r="J15" s="20">
        <f>mix_circ_rca_coarse/1000*$C$7+mix_circ_rca_fine/1000*price_rca_fine_exworks</f>
        <v/>
      </c>
      <c r="K15" s="20">
        <f>mix_circ_rca_coarse/1000*$C$7+mix_circ_rca_fine/1000*price_rca_fine_exworks</f>
        <v/>
      </c>
      <c r="L15" s="20">
        <f>mix_circ_rca_coarse/1000*$C$7+mix_circ_rca_fine/1000*price_rca_fine_exworks</f>
        <v/>
      </c>
      <c r="M15" s="20">
        <f>mix_circ_rca_coarse/1000*$C$7+mix_circ_rca_fine/1000*price_rca_fine_exworks</f>
        <v/>
      </c>
    </row>
    <row r="16">
      <c r="A16" t="inlineStr">
        <is>
          <t>Sand</t>
        </is>
      </c>
      <c r="B16" t="inlineStr">
        <is>
          <t>EUR/m3</t>
        </is>
      </c>
      <c r="C16" s="20">
        <f>mix_circ_sand/1000*price_sand_delivered</f>
        <v/>
      </c>
      <c r="D16" s="20">
        <f>mix_circ_sand/1000*price_sand_delivered</f>
        <v/>
      </c>
      <c r="E16" s="20">
        <f>mix_circ_sand/1000*price_sand_delivered</f>
        <v/>
      </c>
      <c r="F16" s="20">
        <f>mix_circ_sand/1000*price_sand_delivered</f>
        <v/>
      </c>
      <c r="G16" s="20">
        <f>mix_circ_sand/1000*price_sand_delivered</f>
        <v/>
      </c>
      <c r="H16" s="20">
        <f>mix_circ_sand/1000*price_sand_delivered</f>
        <v/>
      </c>
      <c r="I16" s="20">
        <f>mix_circ_sand/1000*price_sand_delivered</f>
        <v/>
      </c>
      <c r="J16" s="20">
        <f>mix_circ_sand/1000*price_sand_delivered</f>
        <v/>
      </c>
      <c r="K16" s="20">
        <f>mix_circ_sand/1000*price_sand_delivered</f>
        <v/>
      </c>
      <c r="L16" s="20">
        <f>mix_circ_sand/1000*price_sand_delivered</f>
        <v/>
      </c>
      <c r="M16" s="20">
        <f>mix_circ_sand/1000*price_sand_delivered</f>
        <v/>
      </c>
    </row>
    <row r="17">
      <c r="A17" t="inlineStr">
        <is>
          <t>Superplasticiser</t>
        </is>
      </c>
      <c r="B17" t="inlineStr">
        <is>
          <t>EUR/m3</t>
        </is>
      </c>
      <c r="C17" s="20">
        <f>mix_plant_avg_binder_circ*mix_circ_superplasticiser_pct_binder/100*price_superplasticiser</f>
        <v/>
      </c>
      <c r="D17" s="20">
        <f>mix_plant_avg_binder_circ*mix_circ_superplasticiser_pct_binder/100*price_superplasticiser</f>
        <v/>
      </c>
      <c r="E17" s="20">
        <f>mix_plant_avg_binder_circ*mix_circ_superplasticiser_pct_binder/100*price_superplasticiser</f>
        <v/>
      </c>
      <c r="F17" s="20">
        <f>mix_plant_avg_binder_circ*mix_circ_superplasticiser_pct_binder/100*price_superplasticiser</f>
        <v/>
      </c>
      <c r="G17" s="20">
        <f>mix_plant_avg_binder_circ*mix_circ_superplasticiser_pct_binder/100*price_superplasticiser</f>
        <v/>
      </c>
      <c r="H17" s="20">
        <f>mix_plant_avg_binder_circ*mix_circ_superplasticiser_pct_binder/100*price_superplasticiser</f>
        <v/>
      </c>
      <c r="I17" s="20">
        <f>mix_plant_avg_binder_circ*mix_circ_superplasticiser_pct_binder/100*price_superplasticiser</f>
        <v/>
      </c>
      <c r="J17" s="20">
        <f>mix_plant_avg_binder_circ*mix_circ_superplasticiser_pct_binder/100*price_superplasticiser</f>
        <v/>
      </c>
      <c r="K17" s="20">
        <f>mix_plant_avg_binder_circ*mix_circ_superplasticiser_pct_binder/100*price_superplasticiser</f>
        <v/>
      </c>
      <c r="L17" s="20">
        <f>mix_plant_avg_binder_circ*mix_circ_superplasticiser_pct_binder/100*price_superplasticiser</f>
        <v/>
      </c>
      <c r="M17" s="20">
        <f>mix_plant_avg_binder_circ*mix_circ_superplasticiser_pct_binder/100*price_superplasticiser</f>
        <v/>
      </c>
    </row>
    <row r="18">
      <c r="A18" t="inlineStr">
        <is>
          <t>Water (effective + absorption)</t>
        </is>
      </c>
      <c r="B18" t="inlineStr">
        <is>
          <t>EUR/m3</t>
        </is>
      </c>
      <c r="C18" s="20">
        <f>(mix_circ_water_effective+mix_circ_water_absorption)/1000*price_water</f>
        <v/>
      </c>
      <c r="D18" s="20">
        <f>(mix_circ_water_effective+mix_circ_water_absorption)/1000*price_water</f>
        <v/>
      </c>
      <c r="E18" s="20">
        <f>(mix_circ_water_effective+mix_circ_water_absorption)/1000*price_water</f>
        <v/>
      </c>
      <c r="F18" s="20">
        <f>(mix_circ_water_effective+mix_circ_water_absorption)/1000*price_water</f>
        <v/>
      </c>
      <c r="G18" s="20">
        <f>(mix_circ_water_effective+mix_circ_water_absorption)/1000*price_water</f>
        <v/>
      </c>
      <c r="H18" s="20">
        <f>(mix_circ_water_effective+mix_circ_water_absorption)/1000*price_water</f>
        <v/>
      </c>
      <c r="I18" s="20">
        <f>(mix_circ_water_effective+mix_circ_water_absorption)/1000*price_water</f>
        <v/>
      </c>
      <c r="J18" s="20">
        <f>(mix_circ_water_effective+mix_circ_water_absorption)/1000*price_water</f>
        <v/>
      </c>
      <c r="K18" s="20">
        <f>(mix_circ_water_effective+mix_circ_water_absorption)/1000*price_water</f>
        <v/>
      </c>
      <c r="L18" s="20">
        <f>(mix_circ_water_effective+mix_circ_water_absorption)/1000*price_water</f>
        <v/>
      </c>
      <c r="M18" s="20">
        <f>(mix_circ_water_effective+mix_circ_water_absorption)/1000*price_water</f>
        <v/>
      </c>
    </row>
    <row r="19">
      <c r="A19" s="2" t="inlineStr">
        <is>
          <t>Raw materials circular</t>
        </is>
      </c>
      <c r="B19" t="inlineStr">
        <is>
          <t>EUR/m3</t>
        </is>
      </c>
      <c r="C19" s="9">
        <f>C13+C14+C15+C16+C17+C18</f>
        <v/>
      </c>
      <c r="D19" s="9">
        <f>D13+D14+D15+D16+D17+D18</f>
        <v/>
      </c>
      <c r="E19" s="9">
        <f>E13+E14+E15+E16+E17+E18</f>
        <v/>
      </c>
      <c r="F19" s="9">
        <f>F13+F14+F15+F16+F17+F18</f>
        <v/>
      </c>
      <c r="G19" s="9">
        <f>G13+G14+G15+G16+G17+G18</f>
        <v/>
      </c>
      <c r="H19" s="9">
        <f>H13+H14+H15+H16+H17+H18</f>
        <v/>
      </c>
      <c r="I19" s="9">
        <f>I13+I14+I15+I16+I17+I18</f>
        <v/>
      </c>
      <c r="J19" s="9">
        <f>J13+J14+J15+J16+J17+J18</f>
        <v/>
      </c>
      <c r="K19" s="9">
        <f>K13+K14+K15+K16+K17+K18</f>
        <v/>
      </c>
      <c r="L19" s="9">
        <f>L13+L14+L15+L16+L17+L18</f>
        <v/>
      </c>
      <c r="M19" s="9">
        <f>M13+M14+M15+M16+M17+M18</f>
        <v/>
      </c>
    </row>
    <row r="20">
      <c r="A20" s="16" t="inlineStr">
        <is>
          <t>Raw materials per m3 - STANDARD CEM III/B mix</t>
        </is>
      </c>
    </row>
    <row r="21">
      <c r="A21" t="inlineStr">
        <is>
          <t>Cement CEM III/B</t>
        </is>
      </c>
      <c r="B21" t="inlineStr">
        <is>
          <t>EUR/m3</t>
        </is>
      </c>
      <c r="C21" s="20">
        <f>mix_plant_avg_binder_conv/1000*Revenue!C15</f>
        <v/>
      </c>
      <c r="D21" s="20">
        <f>mix_plant_avg_binder_conv/1000*Revenue!D15</f>
        <v/>
      </c>
      <c r="E21" s="20">
        <f>mix_plant_avg_binder_conv/1000*Revenue!E15</f>
        <v/>
      </c>
      <c r="F21" s="20">
        <f>mix_plant_avg_binder_conv/1000*Revenue!F15</f>
        <v/>
      </c>
      <c r="G21" s="20">
        <f>mix_plant_avg_binder_conv/1000*Revenue!G15</f>
        <v/>
      </c>
      <c r="H21" s="20">
        <f>mix_plant_avg_binder_conv/1000*Revenue!H15</f>
        <v/>
      </c>
      <c r="I21" s="20">
        <f>mix_plant_avg_binder_conv/1000*Revenue!I15</f>
        <v/>
      </c>
      <c r="J21" s="20">
        <f>mix_plant_avg_binder_conv/1000*Revenue!J15</f>
        <v/>
      </c>
      <c r="K21" s="20">
        <f>mix_plant_avg_binder_conv/1000*Revenue!K15</f>
        <v/>
      </c>
      <c r="L21" s="20">
        <f>mix_plant_avg_binder_conv/1000*Revenue!L15</f>
        <v/>
      </c>
      <c r="M21" s="20">
        <f>mix_plant_avg_binder_conv/1000*Revenue!M15</f>
        <v/>
      </c>
    </row>
    <row r="22">
      <c r="A22" t="inlineStr">
        <is>
          <t>Gravel</t>
        </is>
      </c>
      <c r="B22" t="inlineStr">
        <is>
          <t>EUR/m3</t>
        </is>
      </c>
      <c r="C22" s="20">
        <f>mix_conv_cem3b_gravel/1000*price_gravel_delivered</f>
        <v/>
      </c>
      <c r="D22" s="20">
        <f>mix_conv_cem3b_gravel/1000*price_gravel_delivered</f>
        <v/>
      </c>
      <c r="E22" s="20">
        <f>mix_conv_cem3b_gravel/1000*price_gravel_delivered</f>
        <v/>
      </c>
      <c r="F22" s="20">
        <f>mix_conv_cem3b_gravel/1000*price_gravel_delivered</f>
        <v/>
      </c>
      <c r="G22" s="20">
        <f>mix_conv_cem3b_gravel/1000*price_gravel_delivered</f>
        <v/>
      </c>
      <c r="H22" s="20">
        <f>mix_conv_cem3b_gravel/1000*price_gravel_delivered</f>
        <v/>
      </c>
      <c r="I22" s="20">
        <f>mix_conv_cem3b_gravel/1000*price_gravel_delivered</f>
        <v/>
      </c>
      <c r="J22" s="20">
        <f>mix_conv_cem3b_gravel/1000*price_gravel_delivered</f>
        <v/>
      </c>
      <c r="K22" s="20">
        <f>mix_conv_cem3b_gravel/1000*price_gravel_delivered</f>
        <v/>
      </c>
      <c r="L22" s="20">
        <f>mix_conv_cem3b_gravel/1000*price_gravel_delivered</f>
        <v/>
      </c>
      <c r="M22" s="20">
        <f>mix_conv_cem3b_gravel/1000*price_gravel_delivered</f>
        <v/>
      </c>
    </row>
    <row r="23">
      <c r="A23" t="inlineStr">
        <is>
          <t>Recycled aggregate</t>
        </is>
      </c>
      <c r="B23" t="inlineStr">
        <is>
          <t>EUR/m3</t>
        </is>
      </c>
      <c r="C23" s="20">
        <f>mix_conv_cem3b_rca_coarse/1000*$C$7</f>
        <v/>
      </c>
      <c r="D23" s="20">
        <f>mix_conv_cem3b_rca_coarse/1000*$C$7</f>
        <v/>
      </c>
      <c r="E23" s="20">
        <f>mix_conv_cem3b_rca_coarse/1000*$C$7</f>
        <v/>
      </c>
      <c r="F23" s="20">
        <f>mix_conv_cem3b_rca_coarse/1000*$C$7</f>
        <v/>
      </c>
      <c r="G23" s="20">
        <f>mix_conv_cem3b_rca_coarse/1000*$C$7</f>
        <v/>
      </c>
      <c r="H23" s="20">
        <f>mix_conv_cem3b_rca_coarse/1000*$C$7</f>
        <v/>
      </c>
      <c r="I23" s="20">
        <f>mix_conv_cem3b_rca_coarse/1000*$C$7</f>
        <v/>
      </c>
      <c r="J23" s="20">
        <f>mix_conv_cem3b_rca_coarse/1000*$C$7</f>
        <v/>
      </c>
      <c r="K23" s="20">
        <f>mix_conv_cem3b_rca_coarse/1000*$C$7</f>
        <v/>
      </c>
      <c r="L23" s="20">
        <f>mix_conv_cem3b_rca_coarse/1000*$C$7</f>
        <v/>
      </c>
      <c r="M23" s="20">
        <f>mix_conv_cem3b_rca_coarse/1000*$C$7</f>
        <v/>
      </c>
    </row>
    <row r="24">
      <c r="A24" t="inlineStr">
        <is>
          <t>Sand</t>
        </is>
      </c>
      <c r="B24" t="inlineStr">
        <is>
          <t>EUR/m3</t>
        </is>
      </c>
      <c r="C24" s="20">
        <f>mix_conv_cem3b_sand/1000*price_sand_delivered</f>
        <v/>
      </c>
      <c r="D24" s="20">
        <f>mix_conv_cem3b_sand/1000*price_sand_delivered</f>
        <v/>
      </c>
      <c r="E24" s="20">
        <f>mix_conv_cem3b_sand/1000*price_sand_delivered</f>
        <v/>
      </c>
      <c r="F24" s="20">
        <f>mix_conv_cem3b_sand/1000*price_sand_delivered</f>
        <v/>
      </c>
      <c r="G24" s="20">
        <f>mix_conv_cem3b_sand/1000*price_sand_delivered</f>
        <v/>
      </c>
      <c r="H24" s="20">
        <f>mix_conv_cem3b_sand/1000*price_sand_delivered</f>
        <v/>
      </c>
      <c r="I24" s="20">
        <f>mix_conv_cem3b_sand/1000*price_sand_delivered</f>
        <v/>
      </c>
      <c r="J24" s="20">
        <f>mix_conv_cem3b_sand/1000*price_sand_delivered</f>
        <v/>
      </c>
      <c r="K24" s="20">
        <f>mix_conv_cem3b_sand/1000*price_sand_delivered</f>
        <v/>
      </c>
      <c r="L24" s="20">
        <f>mix_conv_cem3b_sand/1000*price_sand_delivered</f>
        <v/>
      </c>
      <c r="M24" s="20">
        <f>mix_conv_cem3b_sand/1000*price_sand_delivered</f>
        <v/>
      </c>
    </row>
    <row r="25">
      <c r="A25" t="inlineStr">
        <is>
          <t>Superplasticiser</t>
        </is>
      </c>
      <c r="B25" t="inlineStr">
        <is>
          <t>EUR/m3</t>
        </is>
      </c>
      <c r="C25" s="20">
        <f>mix_plant_avg_binder_conv*mix_conv_cem3b_superplasticiser_pct_binder/100*price_superplasticiser</f>
        <v/>
      </c>
      <c r="D25" s="20">
        <f>mix_plant_avg_binder_conv*mix_conv_cem3b_superplasticiser_pct_binder/100*price_superplasticiser</f>
        <v/>
      </c>
      <c r="E25" s="20">
        <f>mix_plant_avg_binder_conv*mix_conv_cem3b_superplasticiser_pct_binder/100*price_superplasticiser</f>
        <v/>
      </c>
      <c r="F25" s="20">
        <f>mix_plant_avg_binder_conv*mix_conv_cem3b_superplasticiser_pct_binder/100*price_superplasticiser</f>
        <v/>
      </c>
      <c r="G25" s="20">
        <f>mix_plant_avg_binder_conv*mix_conv_cem3b_superplasticiser_pct_binder/100*price_superplasticiser</f>
        <v/>
      </c>
      <c r="H25" s="20">
        <f>mix_plant_avg_binder_conv*mix_conv_cem3b_superplasticiser_pct_binder/100*price_superplasticiser</f>
        <v/>
      </c>
      <c r="I25" s="20">
        <f>mix_plant_avg_binder_conv*mix_conv_cem3b_superplasticiser_pct_binder/100*price_superplasticiser</f>
        <v/>
      </c>
      <c r="J25" s="20">
        <f>mix_plant_avg_binder_conv*mix_conv_cem3b_superplasticiser_pct_binder/100*price_superplasticiser</f>
        <v/>
      </c>
      <c r="K25" s="20">
        <f>mix_plant_avg_binder_conv*mix_conv_cem3b_superplasticiser_pct_binder/100*price_superplasticiser</f>
        <v/>
      </c>
      <c r="L25" s="20">
        <f>mix_plant_avg_binder_conv*mix_conv_cem3b_superplasticiser_pct_binder/100*price_superplasticiser</f>
        <v/>
      </c>
      <c r="M25" s="20">
        <f>mix_plant_avg_binder_conv*mix_conv_cem3b_superplasticiser_pct_binder/100*price_superplasticiser</f>
        <v/>
      </c>
    </row>
    <row r="26">
      <c r="A26" t="inlineStr">
        <is>
          <t>Water</t>
        </is>
      </c>
      <c r="B26" t="inlineStr">
        <is>
          <t>EUR/m3</t>
        </is>
      </c>
      <c r="C26" s="20">
        <f>(mix_conv_cem3b_water_effective+mix_conv_cem3b_water_absorption)/1000*price_water</f>
        <v/>
      </c>
      <c r="D26" s="20">
        <f>(mix_conv_cem3b_water_effective+mix_conv_cem3b_water_absorption)/1000*price_water</f>
        <v/>
      </c>
      <c r="E26" s="20">
        <f>(mix_conv_cem3b_water_effective+mix_conv_cem3b_water_absorption)/1000*price_water</f>
        <v/>
      </c>
      <c r="F26" s="20">
        <f>(mix_conv_cem3b_water_effective+mix_conv_cem3b_water_absorption)/1000*price_water</f>
        <v/>
      </c>
      <c r="G26" s="20">
        <f>(mix_conv_cem3b_water_effective+mix_conv_cem3b_water_absorption)/1000*price_water</f>
        <v/>
      </c>
      <c r="H26" s="20">
        <f>(mix_conv_cem3b_water_effective+mix_conv_cem3b_water_absorption)/1000*price_water</f>
        <v/>
      </c>
      <c r="I26" s="20">
        <f>(mix_conv_cem3b_water_effective+mix_conv_cem3b_water_absorption)/1000*price_water</f>
        <v/>
      </c>
      <c r="J26" s="20">
        <f>(mix_conv_cem3b_water_effective+mix_conv_cem3b_water_absorption)/1000*price_water</f>
        <v/>
      </c>
      <c r="K26" s="20">
        <f>(mix_conv_cem3b_water_effective+mix_conv_cem3b_water_absorption)/1000*price_water</f>
        <v/>
      </c>
      <c r="L26" s="20">
        <f>(mix_conv_cem3b_water_effective+mix_conv_cem3b_water_absorption)/1000*price_water</f>
        <v/>
      </c>
      <c r="M26" s="20">
        <f>(mix_conv_cem3b_water_effective+mix_conv_cem3b_water_absorption)/1000*price_water</f>
        <v/>
      </c>
    </row>
    <row r="27">
      <c r="A27" s="2" t="inlineStr">
        <is>
          <t>Raw materials standard</t>
        </is>
      </c>
      <c r="B27" t="inlineStr">
        <is>
          <t>EUR/m3</t>
        </is>
      </c>
      <c r="C27" s="9">
        <f>C21+C22+C23+C24+C25+C26</f>
        <v/>
      </c>
      <c r="D27" s="9">
        <f>D21+D22+D23+D24+D25+D26</f>
        <v/>
      </c>
      <c r="E27" s="9">
        <f>E21+E22+E23+E24+E25+E26</f>
        <v/>
      </c>
      <c r="F27" s="9">
        <f>F21+F22+F23+F24+F25+F26</f>
        <v/>
      </c>
      <c r="G27" s="9">
        <f>G21+G22+G23+G24+G25+G26</f>
        <v/>
      </c>
      <c r="H27" s="9">
        <f>H21+H22+H23+H24+H25+H26</f>
        <v/>
      </c>
      <c r="I27" s="9">
        <f>I21+I22+I23+I24+I25+I26</f>
        <v/>
      </c>
      <c r="J27" s="9">
        <f>J21+J22+J23+J24+J25+J26</f>
        <v/>
      </c>
      <c r="K27" s="9">
        <f>K21+K22+K23+K24+K25+K26</f>
        <v/>
      </c>
      <c r="L27" s="9">
        <f>L21+L22+L23+L24+L25+L26</f>
        <v/>
      </c>
      <c r="M27" s="9">
        <f>M21+M22+M23+M24+M25+M26</f>
        <v/>
      </c>
    </row>
    <row r="29">
      <c r="A29" s="16" t="inlineStr">
        <is>
          <t>Indices</t>
        </is>
      </c>
    </row>
    <row r="30">
      <c r="A30" t="inlineStr">
        <is>
          <t>Operating year flag</t>
        </is>
      </c>
      <c r="B30" t="inlineStr">
        <is>
          <t>-</t>
        </is>
      </c>
      <c r="C30" s="22">
        <f>IF(C$4&gt;=1,1,0)</f>
        <v/>
      </c>
      <c r="D30" s="22">
        <f>IF(D$4&gt;=1,1,0)</f>
        <v/>
      </c>
      <c r="E30" s="22">
        <f>IF(E$4&gt;=1,1,0)</f>
        <v/>
      </c>
      <c r="F30" s="22">
        <f>IF(F$4&gt;=1,1,0)</f>
        <v/>
      </c>
      <c r="G30" s="22">
        <f>IF(G$4&gt;=1,1,0)</f>
        <v/>
      </c>
      <c r="H30" s="22">
        <f>IF(H$4&gt;=1,1,0)</f>
        <v/>
      </c>
      <c r="I30" s="22">
        <f>IF(I$4&gt;=1,1,0)</f>
        <v/>
      </c>
      <c r="J30" s="22">
        <f>IF(J$4&gt;=1,1,0)</f>
        <v/>
      </c>
      <c r="K30" s="22">
        <f>IF(K$4&gt;=1,1,0)</f>
        <v/>
      </c>
      <c r="L30" s="22">
        <f>IF(L$4&gt;=1,1,0)</f>
        <v/>
      </c>
      <c r="M30" s="22">
        <f>IF(M$4&gt;=1,1,0)</f>
        <v/>
      </c>
    </row>
    <row r="31">
      <c r="A31" t="inlineStr">
        <is>
          <t>Real wage index</t>
        </is>
      </c>
      <c r="B31" t="inlineStr">
        <is>
          <t>x</t>
        </is>
      </c>
      <c r="C31" s="23">
        <f>(1+real_wage_growth/100)^C$4</f>
        <v/>
      </c>
      <c r="D31" s="23">
        <f>(1+real_wage_growth/100)^D$4</f>
        <v/>
      </c>
      <c r="E31" s="23">
        <f>(1+real_wage_growth/100)^E$4</f>
        <v/>
      </c>
      <c r="F31" s="23">
        <f>(1+real_wage_growth/100)^F$4</f>
        <v/>
      </c>
      <c r="G31" s="23">
        <f>(1+real_wage_growth/100)^G$4</f>
        <v/>
      </c>
      <c r="H31" s="23">
        <f>(1+real_wage_growth/100)^H$4</f>
        <v/>
      </c>
      <c r="I31" s="23">
        <f>(1+real_wage_growth/100)^I$4</f>
        <v/>
      </c>
      <c r="J31" s="23">
        <f>(1+real_wage_growth/100)^J$4</f>
        <v/>
      </c>
      <c r="K31" s="23">
        <f>(1+real_wage_growth/100)^K$4</f>
        <v/>
      </c>
      <c r="L31" s="23">
        <f>(1+real_wage_growth/100)^L$4</f>
        <v/>
      </c>
      <c r="M31" s="23">
        <f>(1+real_wage_growth/100)^M$4</f>
        <v/>
      </c>
    </row>
    <row r="33">
      <c r="A33" s="16" t="inlineStr">
        <is>
          <t>Variable costs (EUR/yr)</t>
        </is>
      </c>
    </row>
    <row r="34">
      <c r="A34" t="inlineStr">
        <is>
          <t>Raw materials</t>
        </is>
      </c>
      <c r="B34" t="inlineStr">
        <is>
          <t>EUR</t>
        </is>
      </c>
      <c r="C34" s="17">
        <f>Revenue!C9*C19+Revenue!C10*C27</f>
        <v/>
      </c>
      <c r="D34" s="17">
        <f>Revenue!D9*D19+Revenue!D10*D27</f>
        <v/>
      </c>
      <c r="E34" s="17">
        <f>Revenue!E9*E19+Revenue!E10*E27</f>
        <v/>
      </c>
      <c r="F34" s="17">
        <f>Revenue!F9*F19+Revenue!F10*F27</f>
        <v/>
      </c>
      <c r="G34" s="17">
        <f>Revenue!G9*G19+Revenue!G10*G27</f>
        <v/>
      </c>
      <c r="H34" s="17">
        <f>Revenue!H9*H19+Revenue!H10*H27</f>
        <v/>
      </c>
      <c r="I34" s="17">
        <f>Revenue!I9*I19+Revenue!I10*I27</f>
        <v/>
      </c>
      <c r="J34" s="17">
        <f>Revenue!J9*J19+Revenue!J10*J27</f>
        <v/>
      </c>
      <c r="K34" s="17">
        <f>Revenue!K9*K19+Revenue!K10*K27</f>
        <v/>
      </c>
      <c r="L34" s="17">
        <f>Revenue!L9*L19+Revenue!L10*L27</f>
        <v/>
      </c>
      <c r="M34" s="17">
        <f>Revenue!M9*M19+Revenue!M10*M27</f>
        <v/>
      </c>
    </row>
    <row r="35">
      <c r="A35" t="inlineStr">
        <is>
          <t>RCA testing &amp; handling</t>
        </is>
      </c>
      <c r="B35" t="inlineStr">
        <is>
          <t>EUR</t>
        </is>
      </c>
      <c r="C35" s="17">
        <f>Revenue!C9*$C$8</f>
        <v/>
      </c>
      <c r="D35" s="17">
        <f>Revenue!D9*$C$8</f>
        <v/>
      </c>
      <c r="E35" s="17">
        <f>Revenue!E9*$C$8</f>
        <v/>
      </c>
      <c r="F35" s="17">
        <f>Revenue!F9*$C$8</f>
        <v/>
      </c>
      <c r="G35" s="17">
        <f>Revenue!G9*$C$8</f>
        <v/>
      </c>
      <c r="H35" s="17">
        <f>Revenue!H9*$C$8</f>
        <v/>
      </c>
      <c r="I35" s="17">
        <f>Revenue!I9*$C$8</f>
        <v/>
      </c>
      <c r="J35" s="17">
        <f>Revenue!J9*$C$8</f>
        <v/>
      </c>
      <c r="K35" s="17">
        <f>Revenue!K9*$C$8</f>
        <v/>
      </c>
      <c r="L35" s="17">
        <f>Revenue!L9*$C$8</f>
        <v/>
      </c>
      <c r="M35" s="17">
        <f>Revenue!M9*$C$8</f>
        <v/>
      </c>
    </row>
    <row r="36">
      <c r="A36" t="inlineStr">
        <is>
          <t>Energy</t>
        </is>
      </c>
      <c r="B36" t="inlineStr">
        <is>
          <t>EUR</t>
        </is>
      </c>
      <c r="C36" s="17">
        <f>Revenue!C8*$C$9</f>
        <v/>
      </c>
      <c r="D36" s="17">
        <f>Revenue!D8*$C$9</f>
        <v/>
      </c>
      <c r="E36" s="17">
        <f>Revenue!E8*$C$9</f>
        <v/>
      </c>
      <c r="F36" s="17">
        <f>Revenue!F8*$C$9</f>
        <v/>
      </c>
      <c r="G36" s="17">
        <f>Revenue!G8*$C$9</f>
        <v/>
      </c>
      <c r="H36" s="17">
        <f>Revenue!H8*$C$9</f>
        <v/>
      </c>
      <c r="I36" s="17">
        <f>Revenue!I8*$C$9</f>
        <v/>
      </c>
      <c r="J36" s="17">
        <f>Revenue!J8*$C$9</f>
        <v/>
      </c>
      <c r="K36" s="17">
        <f>Revenue!K8*$C$9</f>
        <v/>
      </c>
      <c r="L36" s="17">
        <f>Revenue!L8*$C$9</f>
        <v/>
      </c>
      <c r="M36" s="17">
        <f>Revenue!M8*$C$9</f>
        <v/>
      </c>
    </row>
    <row r="37">
      <c r="A37" t="inlineStr">
        <is>
          <t>Delivery (truck mixers)</t>
        </is>
      </c>
      <c r="B37" t="inlineStr">
        <is>
          <t>EUR</t>
        </is>
      </c>
      <c r="C37" s="17">
        <f>Revenue!C8*$C$10</f>
        <v/>
      </c>
      <c r="D37" s="17">
        <f>Revenue!D8*$C$10</f>
        <v/>
      </c>
      <c r="E37" s="17">
        <f>Revenue!E8*$C$10</f>
        <v/>
      </c>
      <c r="F37" s="17">
        <f>Revenue!F8*$C$10</f>
        <v/>
      </c>
      <c r="G37" s="17">
        <f>Revenue!G8*$C$10</f>
        <v/>
      </c>
      <c r="H37" s="17">
        <f>Revenue!H8*$C$10</f>
        <v/>
      </c>
      <c r="I37" s="17">
        <f>Revenue!I8*$C$10</f>
        <v/>
      </c>
      <c r="J37" s="17">
        <f>Revenue!J8*$C$10</f>
        <v/>
      </c>
      <c r="K37" s="17">
        <f>Revenue!K8*$C$10</f>
        <v/>
      </c>
      <c r="L37" s="17">
        <f>Revenue!L8*$C$10</f>
        <v/>
      </c>
      <c r="M37" s="17">
        <f>Revenue!M8*$C$10</f>
        <v/>
      </c>
    </row>
    <row r="38">
      <c r="A38" t="inlineStr">
        <is>
          <t>Option hook: variable cost delta</t>
        </is>
      </c>
      <c r="B38" t="inlineStr">
        <is>
          <t>EUR</t>
        </is>
      </c>
      <c r="C38" s="17">
        <f>Revenue!C8*opt_cost_delta_per_m3</f>
        <v/>
      </c>
      <c r="D38" s="17">
        <f>Revenue!D8*opt_cost_delta_per_m3</f>
        <v/>
      </c>
      <c r="E38" s="17">
        <f>Revenue!E8*opt_cost_delta_per_m3</f>
        <v/>
      </c>
      <c r="F38" s="17">
        <f>Revenue!F8*opt_cost_delta_per_m3</f>
        <v/>
      </c>
      <c r="G38" s="17">
        <f>Revenue!G8*opt_cost_delta_per_m3</f>
        <v/>
      </c>
      <c r="H38" s="17">
        <f>Revenue!H8*opt_cost_delta_per_m3</f>
        <v/>
      </c>
      <c r="I38" s="17">
        <f>Revenue!I8*opt_cost_delta_per_m3</f>
        <v/>
      </c>
      <c r="J38" s="17">
        <f>Revenue!J8*opt_cost_delta_per_m3</f>
        <v/>
      </c>
      <c r="K38" s="17">
        <f>Revenue!K8*opt_cost_delta_per_m3</f>
        <v/>
      </c>
      <c r="L38" s="17">
        <f>Revenue!L8*opt_cost_delta_per_m3</f>
        <v/>
      </c>
      <c r="M38" s="17">
        <f>Revenue!M8*opt_cost_delta_per_m3</f>
        <v/>
      </c>
    </row>
    <row r="39">
      <c r="A39" t="inlineStr">
        <is>
          <t>Bad debt</t>
        </is>
      </c>
      <c r="B39" t="inlineStr">
        <is>
          <t>EUR</t>
        </is>
      </c>
      <c r="C39" s="17">
        <f>Revenue!C28*bad_debt_pct_revenue/100</f>
        <v/>
      </c>
      <c r="D39" s="17">
        <f>Revenue!D28*bad_debt_pct_revenue/100</f>
        <v/>
      </c>
      <c r="E39" s="17">
        <f>Revenue!E28*bad_debt_pct_revenue/100</f>
        <v/>
      </c>
      <c r="F39" s="17">
        <f>Revenue!F28*bad_debt_pct_revenue/100</f>
        <v/>
      </c>
      <c r="G39" s="17">
        <f>Revenue!G28*bad_debt_pct_revenue/100</f>
        <v/>
      </c>
      <c r="H39" s="17">
        <f>Revenue!H28*bad_debt_pct_revenue/100</f>
        <v/>
      </c>
      <c r="I39" s="17">
        <f>Revenue!I28*bad_debt_pct_revenue/100</f>
        <v/>
      </c>
      <c r="J39" s="17">
        <f>Revenue!J28*bad_debt_pct_revenue/100</f>
        <v/>
      </c>
      <c r="K39" s="17">
        <f>Revenue!K28*bad_debt_pct_revenue/100</f>
        <v/>
      </c>
      <c r="L39" s="17">
        <f>Revenue!L28*bad_debt_pct_revenue/100</f>
        <v/>
      </c>
      <c r="M39" s="17">
        <f>Revenue!M28*bad_debt_pct_revenue/100</f>
        <v/>
      </c>
    </row>
    <row r="40">
      <c r="A40" s="2" t="inlineStr">
        <is>
          <t>Total variable costs</t>
        </is>
      </c>
      <c r="B40" t="inlineStr">
        <is>
          <t>EUR</t>
        </is>
      </c>
      <c r="C40" s="18">
        <f>C34+C35+C36+C37+C38+C39</f>
        <v/>
      </c>
      <c r="D40" s="18">
        <f>D34+D35+D36+D37+D38+D39</f>
        <v/>
      </c>
      <c r="E40" s="18">
        <f>E34+E35+E36+E37+E38+E39</f>
        <v/>
      </c>
      <c r="F40" s="18">
        <f>F34+F35+F36+F37+F38+F39</f>
        <v/>
      </c>
      <c r="G40" s="18">
        <f>G34+G35+G36+G37+G38+G39</f>
        <v/>
      </c>
      <c r="H40" s="18">
        <f>H34+H35+H36+H37+H38+H39</f>
        <v/>
      </c>
      <c r="I40" s="18">
        <f>I34+I35+I36+I37+I38+I39</f>
        <v/>
      </c>
      <c r="J40" s="18">
        <f>J34+J35+J36+J37+J38+J39</f>
        <v/>
      </c>
      <c r="K40" s="18">
        <f>K34+K35+K36+K37+K38+K39</f>
        <v/>
      </c>
      <c r="L40" s="18">
        <f>L34+L35+L36+L37+L38+L39</f>
        <v/>
      </c>
      <c r="M40" s="18">
        <f>M34+M35+M36+M37+M38+M39</f>
        <v/>
      </c>
    </row>
    <row r="41">
      <c r="A41" s="16" t="inlineStr">
        <is>
          <t>Fixed costs (EUR/yr, from year 1)</t>
        </is>
      </c>
    </row>
    <row r="42">
      <c r="A42" t="inlineStr">
        <is>
          <t>Production staff</t>
        </is>
      </c>
      <c r="B42" t="inlineStr">
        <is>
          <t>EUR</t>
        </is>
      </c>
      <c r="C42" s="17">
        <f>C30*staff_production_fte*cost_per_fte_production*C31</f>
        <v/>
      </c>
      <c r="D42" s="17">
        <f>D30*staff_production_fte*cost_per_fte_production*D31</f>
        <v/>
      </c>
      <c r="E42" s="17">
        <f>E30*staff_production_fte*cost_per_fte_production*E31</f>
        <v/>
      </c>
      <c r="F42" s="17">
        <f>F30*staff_production_fte*cost_per_fte_production*F31</f>
        <v/>
      </c>
      <c r="G42" s="17">
        <f>G30*staff_production_fte*cost_per_fte_production*G31</f>
        <v/>
      </c>
      <c r="H42" s="17">
        <f>H30*staff_production_fte*cost_per_fte_production*H31</f>
        <v/>
      </c>
      <c r="I42" s="17">
        <f>I30*staff_production_fte*cost_per_fte_production*I31</f>
        <v/>
      </c>
      <c r="J42" s="17">
        <f>J30*staff_production_fte*cost_per_fte_production*J31</f>
        <v/>
      </c>
      <c r="K42" s="17">
        <f>K30*staff_production_fte*cost_per_fte_production*K31</f>
        <v/>
      </c>
      <c r="L42" s="17">
        <f>L30*staff_production_fte*cost_per_fte_production*L31</f>
        <v/>
      </c>
      <c r="M42" s="17">
        <f>M30*staff_production_fte*cost_per_fte_production*M31</f>
        <v/>
      </c>
    </row>
    <row r="43">
      <c r="A43" t="inlineStr">
        <is>
          <t>Maintenance &amp; wear</t>
        </is>
      </c>
      <c r="B43" t="inlineStr">
        <is>
          <t>EUR</t>
        </is>
      </c>
      <c r="C43" s="17">
        <f>C30*maintenance_pct_of_capex/100*Capex!$C$13</f>
        <v/>
      </c>
      <c r="D43" s="17">
        <f>D30*maintenance_pct_of_capex/100*Capex!$C$13</f>
        <v/>
      </c>
      <c r="E43" s="17">
        <f>E30*maintenance_pct_of_capex/100*Capex!$C$13</f>
        <v/>
      </c>
      <c r="F43" s="17">
        <f>F30*maintenance_pct_of_capex/100*Capex!$C$13</f>
        <v/>
      </c>
      <c r="G43" s="17">
        <f>G30*maintenance_pct_of_capex/100*Capex!$C$13</f>
        <v/>
      </c>
      <c r="H43" s="17">
        <f>H30*maintenance_pct_of_capex/100*Capex!$C$13</f>
        <v/>
      </c>
      <c r="I43" s="17">
        <f>I30*maintenance_pct_of_capex/100*Capex!$C$13</f>
        <v/>
      </c>
      <c r="J43" s="17">
        <f>J30*maintenance_pct_of_capex/100*Capex!$C$13</f>
        <v/>
      </c>
      <c r="K43" s="17">
        <f>K30*maintenance_pct_of_capex/100*Capex!$C$13</f>
        <v/>
      </c>
      <c r="L43" s="17">
        <f>L30*maintenance_pct_of_capex/100*Capex!$C$13</f>
        <v/>
      </c>
      <c r="M43" s="17">
        <f>M30*maintenance_pct_of_capex/100*Capex!$C$13</f>
        <v/>
      </c>
    </row>
    <row r="44">
      <c r="A44" t="inlineStr">
        <is>
          <t>Certification &amp; testing (KOMO, CSC, NMD)</t>
        </is>
      </c>
      <c r="B44" t="inlineStr">
        <is>
          <t>EUR</t>
        </is>
      </c>
      <c r="C44" s="17">
        <f>C30*certification_testing_fixed</f>
        <v/>
      </c>
      <c r="D44" s="17">
        <f>D30*certification_testing_fixed</f>
        <v/>
      </c>
      <c r="E44" s="17">
        <f>E30*certification_testing_fixed</f>
        <v/>
      </c>
      <c r="F44" s="17">
        <f>F30*certification_testing_fixed</f>
        <v/>
      </c>
      <c r="G44" s="17">
        <f>G30*certification_testing_fixed</f>
        <v/>
      </c>
      <c r="H44" s="17">
        <f>H30*certification_testing_fixed</f>
        <v/>
      </c>
      <c r="I44" s="17">
        <f>I30*certification_testing_fixed</f>
        <v/>
      </c>
      <c r="J44" s="17">
        <f>J30*certification_testing_fixed</f>
        <v/>
      </c>
      <c r="K44" s="17">
        <f>K30*certification_testing_fixed</f>
        <v/>
      </c>
      <c r="L44" s="17">
        <f>L30*certification_testing_fixed</f>
        <v/>
      </c>
      <c r="M44" s="17">
        <f>M30*certification_testing_fixed</f>
        <v/>
      </c>
    </row>
    <row r="45">
      <c r="A45" t="inlineStr">
        <is>
          <t>Site lease</t>
        </is>
      </c>
      <c r="B45" t="inlineStr">
        <is>
          <t>EUR</t>
        </is>
      </c>
      <c r="C45" s="17">
        <f>C30*site_area*site_lease_rate</f>
        <v/>
      </c>
      <c r="D45" s="17">
        <f>D30*site_area*site_lease_rate</f>
        <v/>
      </c>
      <c r="E45" s="17">
        <f>E30*site_area*site_lease_rate</f>
        <v/>
      </c>
      <c r="F45" s="17">
        <f>F30*site_area*site_lease_rate</f>
        <v/>
      </c>
      <c r="G45" s="17">
        <f>G30*site_area*site_lease_rate</f>
        <v/>
      </c>
      <c r="H45" s="17">
        <f>H30*site_area*site_lease_rate</f>
        <v/>
      </c>
      <c r="I45" s="17">
        <f>I30*site_area*site_lease_rate</f>
        <v/>
      </c>
      <c r="J45" s="17">
        <f>J30*site_area*site_lease_rate</f>
        <v/>
      </c>
      <c r="K45" s="17">
        <f>K30*site_area*site_lease_rate</f>
        <v/>
      </c>
      <c r="L45" s="17">
        <f>L30*site_area*site_lease_rate</f>
        <v/>
      </c>
      <c r="M45" s="17">
        <f>M30*site_area*site_lease_rate</f>
        <v/>
      </c>
    </row>
    <row r="46">
      <c r="A46" t="inlineStr">
        <is>
          <t>SG&amp;A staff</t>
        </is>
      </c>
      <c r="B46" t="inlineStr">
        <is>
          <t>EUR</t>
        </is>
      </c>
      <c r="C46" s="17">
        <f>C30*staff_sga_fte*cost_per_fte_sga*C31</f>
        <v/>
      </c>
      <c r="D46" s="17">
        <f>D30*staff_sga_fte*cost_per_fte_sga*D31</f>
        <v/>
      </c>
      <c r="E46" s="17">
        <f>E30*staff_sga_fte*cost_per_fte_sga*E31</f>
        <v/>
      </c>
      <c r="F46" s="17">
        <f>F30*staff_sga_fte*cost_per_fte_sga*F31</f>
        <v/>
      </c>
      <c r="G46" s="17">
        <f>G30*staff_sga_fte*cost_per_fte_sga*G31</f>
        <v/>
      </c>
      <c r="H46" s="17">
        <f>H30*staff_sga_fte*cost_per_fte_sga*H31</f>
        <v/>
      </c>
      <c r="I46" s="17">
        <f>I30*staff_sga_fte*cost_per_fte_sga*I31</f>
        <v/>
      </c>
      <c r="J46" s="17">
        <f>J30*staff_sga_fte*cost_per_fte_sga*J31</f>
        <v/>
      </c>
      <c r="K46" s="17">
        <f>K30*staff_sga_fte*cost_per_fte_sga*K31</f>
        <v/>
      </c>
      <c r="L46" s="17">
        <f>L30*staff_sga_fte*cost_per_fte_sga*L31</f>
        <v/>
      </c>
      <c r="M46" s="17">
        <f>M30*staff_sga_fte*cost_per_fte_sga*M31</f>
        <v/>
      </c>
    </row>
    <row r="47">
      <c r="A47" t="inlineStr">
        <is>
          <t>SG&amp;A non-staff</t>
        </is>
      </c>
      <c r="B47" t="inlineStr">
        <is>
          <t>EUR</t>
        </is>
      </c>
      <c r="C47" s="17">
        <f>C30*sga_fixed_non_staff</f>
        <v/>
      </c>
      <c r="D47" s="17">
        <f>D30*sga_fixed_non_staff</f>
        <v/>
      </c>
      <c r="E47" s="17">
        <f>E30*sga_fixed_non_staff</f>
        <v/>
      </c>
      <c r="F47" s="17">
        <f>F30*sga_fixed_non_staff</f>
        <v/>
      </c>
      <c r="G47" s="17">
        <f>G30*sga_fixed_non_staff</f>
        <v/>
      </c>
      <c r="H47" s="17">
        <f>H30*sga_fixed_non_staff</f>
        <v/>
      </c>
      <c r="I47" s="17">
        <f>I30*sga_fixed_non_staff</f>
        <v/>
      </c>
      <c r="J47" s="17">
        <f>J30*sga_fixed_non_staff</f>
        <v/>
      </c>
      <c r="K47" s="17">
        <f>K30*sga_fixed_non_staff</f>
        <v/>
      </c>
      <c r="L47" s="17">
        <f>L30*sga_fixed_non_staff</f>
        <v/>
      </c>
      <c r="M47" s="17">
        <f>M30*sga_fixed_non_staff</f>
        <v/>
      </c>
    </row>
    <row r="48">
      <c r="A48" t="inlineStr">
        <is>
          <t>Option hook: extra fixed opex</t>
        </is>
      </c>
      <c r="B48" t="inlineStr">
        <is>
          <t>EUR</t>
        </is>
      </c>
      <c r="C48" s="17">
        <f>C30*opt_extra_opex_per_yr</f>
        <v/>
      </c>
      <c r="D48" s="17">
        <f>D30*opt_extra_opex_per_yr</f>
        <v/>
      </c>
      <c r="E48" s="17">
        <f>E30*opt_extra_opex_per_yr</f>
        <v/>
      </c>
      <c r="F48" s="17">
        <f>F30*opt_extra_opex_per_yr</f>
        <v/>
      </c>
      <c r="G48" s="17">
        <f>G30*opt_extra_opex_per_yr</f>
        <v/>
      </c>
      <c r="H48" s="17">
        <f>H30*opt_extra_opex_per_yr</f>
        <v/>
      </c>
      <c r="I48" s="17">
        <f>I30*opt_extra_opex_per_yr</f>
        <v/>
      </c>
      <c r="J48" s="17">
        <f>J30*opt_extra_opex_per_yr</f>
        <v/>
      </c>
      <c r="K48" s="17">
        <f>K30*opt_extra_opex_per_yr</f>
        <v/>
      </c>
      <c r="L48" s="17">
        <f>L30*opt_extra_opex_per_yr</f>
        <v/>
      </c>
      <c r="M48" s="17">
        <f>M30*opt_extra_opex_per_yr</f>
        <v/>
      </c>
    </row>
    <row r="49">
      <c r="A49" s="2" t="inlineStr">
        <is>
          <t>Total fixed costs</t>
        </is>
      </c>
      <c r="B49" t="inlineStr">
        <is>
          <t>EUR</t>
        </is>
      </c>
      <c r="C49" s="18">
        <f>C42+C43+C44+C45+C46+C47+C48</f>
        <v/>
      </c>
      <c r="D49" s="18">
        <f>D42+D43+D44+D45+D46+D47+D48</f>
        <v/>
      </c>
      <c r="E49" s="18">
        <f>E42+E43+E44+E45+E46+E47+E48</f>
        <v/>
      </c>
      <c r="F49" s="18">
        <f>F42+F43+F44+F45+F46+F47+F48</f>
        <v/>
      </c>
      <c r="G49" s="18">
        <f>G42+G43+G44+G45+G46+G47+G48</f>
        <v/>
      </c>
      <c r="H49" s="18">
        <f>H42+H43+H44+H45+H46+H47+H48</f>
        <v/>
      </c>
      <c r="I49" s="18">
        <f>I42+I43+I44+I45+I46+I47+I48</f>
        <v/>
      </c>
      <c r="J49" s="18">
        <f>J42+J43+J44+J45+J46+J47+J48</f>
        <v/>
      </c>
      <c r="K49" s="18">
        <f>K42+K43+K44+K45+K46+K47+K48</f>
        <v/>
      </c>
      <c r="L49" s="18">
        <f>L42+L43+L44+L45+L46+L47+L48</f>
        <v/>
      </c>
      <c r="M49" s="18">
        <f>M42+M43+M44+M45+M46+M47+M48</f>
        <v/>
      </c>
    </row>
    <row r="50">
      <c r="A50" t="inlineStr">
        <is>
          <t>One-off start-up costs (t=0)</t>
        </is>
      </c>
      <c r="B50" t="inlineStr">
        <is>
          <t>EUR</t>
        </is>
      </c>
      <c r="C50" s="17">
        <f>Capex!C16</f>
        <v/>
      </c>
      <c r="D50" s="17">
        <f>Capex!D16</f>
        <v/>
      </c>
      <c r="E50" s="17">
        <f>Capex!E16</f>
        <v/>
      </c>
      <c r="F50" s="17">
        <f>Capex!F16</f>
        <v/>
      </c>
      <c r="G50" s="17">
        <f>Capex!G16</f>
        <v/>
      </c>
      <c r="H50" s="17">
        <f>Capex!H16</f>
        <v/>
      </c>
      <c r="I50" s="17">
        <f>Capex!I16</f>
        <v/>
      </c>
      <c r="J50" s="17">
        <f>Capex!J16</f>
        <v/>
      </c>
      <c r="K50" s="17">
        <f>Capex!K16</f>
        <v/>
      </c>
      <c r="L50" s="17">
        <f>Capex!L16</f>
        <v/>
      </c>
      <c r="M50" s="17">
        <f>Capex!M16</f>
        <v/>
      </c>
    </row>
    <row r="51">
      <c r="A51" s="2" t="inlineStr">
        <is>
          <t>TOTAL OPERATING COSTS</t>
        </is>
      </c>
      <c r="B51" t="inlineStr">
        <is>
          <t>EUR</t>
        </is>
      </c>
      <c r="C51" s="18">
        <f>C40+C49+C50</f>
        <v/>
      </c>
      <c r="D51" s="18">
        <f>D40+D49+D50</f>
        <v/>
      </c>
      <c r="E51" s="18">
        <f>E40+E49+E50</f>
        <v/>
      </c>
      <c r="F51" s="18">
        <f>F40+F49+F50</f>
        <v/>
      </c>
      <c r="G51" s="18">
        <f>G40+G49+G50</f>
        <v/>
      </c>
      <c r="H51" s="18">
        <f>H40+H49+H50</f>
        <v/>
      </c>
      <c r="I51" s="18">
        <f>I40+I49+I50</f>
        <v/>
      </c>
      <c r="J51" s="18">
        <f>J40+J49+J50</f>
        <v/>
      </c>
      <c r="K51" s="18">
        <f>K40+K49+K50</f>
        <v/>
      </c>
      <c r="L51" s="18">
        <f>L40+L49+L50</f>
        <v/>
      </c>
      <c r="M51" s="18">
        <f>M40+M49+M50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Profit &amp; loss (EUR, real 2026)</t>
        </is>
      </c>
    </row>
    <row r="2">
      <c r="A2" s="5" t="inlineStr">
        <is>
          <t>Unlevered: no debt, no interest.</t>
        </is>
      </c>
    </row>
    <row r="3">
      <c r="A3" s="13" t="inlineStr">
        <is>
          <t>Year</t>
        </is>
      </c>
      <c r="B3" s="13" t="inlineStr">
        <is>
          <t>unit</t>
        </is>
      </c>
      <c r="C3" s="14">
        <f>2026+C4</f>
        <v/>
      </c>
      <c r="D3" s="14">
        <f>2026+D4</f>
        <v/>
      </c>
      <c r="E3" s="14">
        <f>2026+E4</f>
        <v/>
      </c>
      <c r="F3" s="14">
        <f>2026+F4</f>
        <v/>
      </c>
      <c r="G3" s="14">
        <f>2026+G4</f>
        <v/>
      </c>
      <c r="H3" s="14">
        <f>2026+H4</f>
        <v/>
      </c>
      <c r="I3" s="14">
        <f>2026+I4</f>
        <v/>
      </c>
      <c r="J3" s="14">
        <f>2026+J4</f>
        <v/>
      </c>
      <c r="K3" s="14">
        <f>2026+K4</f>
        <v/>
      </c>
      <c r="L3" s="14">
        <f>2026+L4</f>
        <v/>
      </c>
      <c r="M3" s="14">
        <f>2026+M4</f>
        <v/>
      </c>
    </row>
    <row r="4">
      <c r="A4" s="13" t="inlineStr">
        <is>
          <t>t (year index)</t>
        </is>
      </c>
      <c r="B4" s="15" t="n"/>
      <c r="C4" s="14" t="n">
        <v>0</v>
      </c>
      <c r="D4" s="14" t="n">
        <v>1</v>
      </c>
      <c r="E4" s="14" t="n">
        <v>2</v>
      </c>
      <c r="F4" s="14" t="n">
        <v>3</v>
      </c>
      <c r="G4" s="14" t="n">
        <v>4</v>
      </c>
      <c r="H4" s="14" t="n">
        <v>5</v>
      </c>
      <c r="I4" s="14" t="n">
        <v>6</v>
      </c>
      <c r="J4" s="14" t="n">
        <v>7</v>
      </c>
      <c r="K4" s="14" t="n">
        <v>8</v>
      </c>
      <c r="L4" s="14" t="n">
        <v>9</v>
      </c>
      <c r="M4" s="14" t="n">
        <v>10</v>
      </c>
    </row>
    <row r="6">
      <c r="A6" t="inlineStr">
        <is>
          <t>Revenue circular mixes</t>
        </is>
      </c>
      <c r="B6" t="inlineStr">
        <is>
          <t>EUR</t>
        </is>
      </c>
      <c r="C6" s="17">
        <f>Revenue!C25</f>
        <v/>
      </c>
      <c r="D6" s="17">
        <f>Revenue!D25</f>
        <v/>
      </c>
      <c r="E6" s="17">
        <f>Revenue!E25</f>
        <v/>
      </c>
      <c r="F6" s="17">
        <f>Revenue!F25</f>
        <v/>
      </c>
      <c r="G6" s="17">
        <f>Revenue!G25</f>
        <v/>
      </c>
      <c r="H6" s="17">
        <f>Revenue!H25</f>
        <v/>
      </c>
      <c r="I6" s="17">
        <f>Revenue!I25</f>
        <v/>
      </c>
      <c r="J6" s="17">
        <f>Revenue!J25</f>
        <v/>
      </c>
      <c r="K6" s="17">
        <f>Revenue!K25</f>
        <v/>
      </c>
      <c r="L6" s="17">
        <f>Revenue!L25</f>
        <v/>
      </c>
      <c r="M6" s="17">
        <f>Revenue!M25</f>
        <v/>
      </c>
    </row>
    <row r="7">
      <c r="A7" t="inlineStr">
        <is>
          <t>Revenue standard mixes</t>
        </is>
      </c>
      <c r="B7" t="inlineStr">
        <is>
          <t>EUR</t>
        </is>
      </c>
      <c r="C7" s="17">
        <f>Revenue!C26</f>
        <v/>
      </c>
      <c r="D7" s="17">
        <f>Revenue!D26</f>
        <v/>
      </c>
      <c r="E7" s="17">
        <f>Revenue!E26</f>
        <v/>
      </c>
      <c r="F7" s="17">
        <f>Revenue!F26</f>
        <v/>
      </c>
      <c r="G7" s="17">
        <f>Revenue!G26</f>
        <v/>
      </c>
      <c r="H7" s="17">
        <f>Revenue!H26</f>
        <v/>
      </c>
      <c r="I7" s="17">
        <f>Revenue!I26</f>
        <v/>
      </c>
      <c r="J7" s="17">
        <f>Revenue!J26</f>
        <v/>
      </c>
      <c r="K7" s="17">
        <f>Revenue!K26</f>
        <v/>
      </c>
      <c r="L7" s="17">
        <f>Revenue!L26</f>
        <v/>
      </c>
      <c r="M7" s="17">
        <f>Revenue!M26</f>
        <v/>
      </c>
    </row>
    <row r="8">
      <c r="A8" t="inlineStr">
        <is>
          <t>Other revenue (option hook)</t>
        </is>
      </c>
      <c r="B8" t="inlineStr">
        <is>
          <t>EUR</t>
        </is>
      </c>
      <c r="C8" s="17">
        <f>Revenue!C27</f>
        <v/>
      </c>
      <c r="D8" s="17">
        <f>Revenue!D27</f>
        <v/>
      </c>
      <c r="E8" s="17">
        <f>Revenue!E27</f>
        <v/>
      </c>
      <c r="F8" s="17">
        <f>Revenue!F27</f>
        <v/>
      </c>
      <c r="G8" s="17">
        <f>Revenue!G27</f>
        <v/>
      </c>
      <c r="H8" s="17">
        <f>Revenue!H27</f>
        <v/>
      </c>
      <c r="I8" s="17">
        <f>Revenue!I27</f>
        <v/>
      </c>
      <c r="J8" s="17">
        <f>Revenue!J27</f>
        <v/>
      </c>
      <c r="K8" s="17">
        <f>Revenue!K27</f>
        <v/>
      </c>
      <c r="L8" s="17">
        <f>Revenue!L27</f>
        <v/>
      </c>
      <c r="M8" s="17">
        <f>Revenue!M27</f>
        <v/>
      </c>
    </row>
    <row r="9">
      <c r="A9" s="2" t="inlineStr">
        <is>
          <t>REVENUE</t>
        </is>
      </c>
      <c r="B9" t="inlineStr">
        <is>
          <t>EUR</t>
        </is>
      </c>
      <c r="C9" s="18">
        <f>C6+C7+C8</f>
        <v/>
      </c>
      <c r="D9" s="18">
        <f>D6+D7+D8</f>
        <v/>
      </c>
      <c r="E9" s="18">
        <f>E6+E7+E8</f>
        <v/>
      </c>
      <c r="F9" s="18">
        <f>F6+F7+F8</f>
        <v/>
      </c>
      <c r="G9" s="18">
        <f>G6+G7+G8</f>
        <v/>
      </c>
      <c r="H9" s="18">
        <f>H6+H7+H8</f>
        <v/>
      </c>
      <c r="I9" s="18">
        <f>I6+I7+I8</f>
        <v/>
      </c>
      <c r="J9" s="18">
        <f>J6+J7+J8</f>
        <v/>
      </c>
      <c r="K9" s="18">
        <f>K6+K7+K8</f>
        <v/>
      </c>
      <c r="L9" s="18">
        <f>L6+L7+L8</f>
        <v/>
      </c>
      <c r="M9" s="18">
        <f>M6+M7+M8</f>
        <v/>
      </c>
    </row>
    <row r="10">
      <c r="A10" t="inlineStr">
        <is>
          <t xml:space="preserve">  - Raw materials</t>
        </is>
      </c>
      <c r="B10" t="inlineStr">
        <is>
          <t>EUR</t>
        </is>
      </c>
      <c r="C10" s="17">
        <f>-Opex!C34</f>
        <v/>
      </c>
      <c r="D10" s="17">
        <f>-Opex!D34</f>
        <v/>
      </c>
      <c r="E10" s="17">
        <f>-Opex!E34</f>
        <v/>
      </c>
      <c r="F10" s="17">
        <f>-Opex!F34</f>
        <v/>
      </c>
      <c r="G10" s="17">
        <f>-Opex!G34</f>
        <v/>
      </c>
      <c r="H10" s="17">
        <f>-Opex!H34</f>
        <v/>
      </c>
      <c r="I10" s="17">
        <f>-Opex!I34</f>
        <v/>
      </c>
      <c r="J10" s="17">
        <f>-Opex!J34</f>
        <v/>
      </c>
      <c r="K10" s="17">
        <f>-Opex!K34</f>
        <v/>
      </c>
      <c r="L10" s="17">
        <f>-Opex!L34</f>
        <v/>
      </c>
      <c r="M10" s="17">
        <f>-Opex!M34</f>
        <v/>
      </c>
    </row>
    <row r="11">
      <c r="A11" t="inlineStr">
        <is>
          <t xml:space="preserve">  - RCA testing &amp; handling</t>
        </is>
      </c>
      <c r="B11" t="inlineStr">
        <is>
          <t>EUR</t>
        </is>
      </c>
      <c r="C11" s="17">
        <f>-Opex!C35</f>
        <v/>
      </c>
      <c r="D11" s="17">
        <f>-Opex!D35</f>
        <v/>
      </c>
      <c r="E11" s="17">
        <f>-Opex!E35</f>
        <v/>
      </c>
      <c r="F11" s="17">
        <f>-Opex!F35</f>
        <v/>
      </c>
      <c r="G11" s="17">
        <f>-Opex!G35</f>
        <v/>
      </c>
      <c r="H11" s="17">
        <f>-Opex!H35</f>
        <v/>
      </c>
      <c r="I11" s="17">
        <f>-Opex!I35</f>
        <v/>
      </c>
      <c r="J11" s="17">
        <f>-Opex!J35</f>
        <v/>
      </c>
      <c r="K11" s="17">
        <f>-Opex!K35</f>
        <v/>
      </c>
      <c r="L11" s="17">
        <f>-Opex!L35</f>
        <v/>
      </c>
      <c r="M11" s="17">
        <f>-Opex!M35</f>
        <v/>
      </c>
    </row>
    <row r="12">
      <c r="A12" t="inlineStr">
        <is>
          <t xml:space="preserve">  - Energy</t>
        </is>
      </c>
      <c r="B12" t="inlineStr">
        <is>
          <t>EUR</t>
        </is>
      </c>
      <c r="C12" s="17">
        <f>-Opex!C36</f>
        <v/>
      </c>
      <c r="D12" s="17">
        <f>-Opex!D36</f>
        <v/>
      </c>
      <c r="E12" s="17">
        <f>-Opex!E36</f>
        <v/>
      </c>
      <c r="F12" s="17">
        <f>-Opex!F36</f>
        <v/>
      </c>
      <c r="G12" s="17">
        <f>-Opex!G36</f>
        <v/>
      </c>
      <c r="H12" s="17">
        <f>-Opex!H36</f>
        <v/>
      </c>
      <c r="I12" s="17">
        <f>-Opex!I36</f>
        <v/>
      </c>
      <c r="J12" s="17">
        <f>-Opex!J36</f>
        <v/>
      </c>
      <c r="K12" s="17">
        <f>-Opex!K36</f>
        <v/>
      </c>
      <c r="L12" s="17">
        <f>-Opex!L36</f>
        <v/>
      </c>
      <c r="M12" s="17">
        <f>-Opex!M36</f>
        <v/>
      </c>
    </row>
    <row r="13">
      <c r="A13" t="inlineStr">
        <is>
          <t xml:space="preserve">  - Delivery</t>
        </is>
      </c>
      <c r="B13" t="inlineStr">
        <is>
          <t>EUR</t>
        </is>
      </c>
      <c r="C13" s="17">
        <f>-Opex!C37</f>
        <v/>
      </c>
      <c r="D13" s="17">
        <f>-Opex!D37</f>
        <v/>
      </c>
      <c r="E13" s="17">
        <f>-Opex!E37</f>
        <v/>
      </c>
      <c r="F13" s="17">
        <f>-Opex!F37</f>
        <v/>
      </c>
      <c r="G13" s="17">
        <f>-Opex!G37</f>
        <v/>
      </c>
      <c r="H13" s="17">
        <f>-Opex!H37</f>
        <v/>
      </c>
      <c r="I13" s="17">
        <f>-Opex!I37</f>
        <v/>
      </c>
      <c r="J13" s="17">
        <f>-Opex!J37</f>
        <v/>
      </c>
      <c r="K13" s="17">
        <f>-Opex!K37</f>
        <v/>
      </c>
      <c r="L13" s="17">
        <f>-Opex!L37</f>
        <v/>
      </c>
      <c r="M13" s="17">
        <f>-Opex!M37</f>
        <v/>
      </c>
    </row>
    <row r="14">
      <c r="A14" t="inlineStr">
        <is>
          <t xml:space="preserve">  - Variable cost delta (hook)</t>
        </is>
      </c>
      <c r="B14" t="inlineStr">
        <is>
          <t>EUR</t>
        </is>
      </c>
      <c r="C14" s="17">
        <f>-Opex!C38</f>
        <v/>
      </c>
      <c r="D14" s="17">
        <f>-Opex!D38</f>
        <v/>
      </c>
      <c r="E14" s="17">
        <f>-Opex!E38</f>
        <v/>
      </c>
      <c r="F14" s="17">
        <f>-Opex!F38</f>
        <v/>
      </c>
      <c r="G14" s="17">
        <f>-Opex!G38</f>
        <v/>
      </c>
      <c r="H14" s="17">
        <f>-Opex!H38</f>
        <v/>
      </c>
      <c r="I14" s="17">
        <f>-Opex!I38</f>
        <v/>
      </c>
      <c r="J14" s="17">
        <f>-Opex!J38</f>
        <v/>
      </c>
      <c r="K14" s="17">
        <f>-Opex!K38</f>
        <v/>
      </c>
      <c r="L14" s="17">
        <f>-Opex!L38</f>
        <v/>
      </c>
      <c r="M14" s="17">
        <f>-Opex!M38</f>
        <v/>
      </c>
    </row>
    <row r="15">
      <c r="A15" t="inlineStr">
        <is>
          <t xml:space="preserve">  - Bad debt</t>
        </is>
      </c>
      <c r="B15" t="inlineStr">
        <is>
          <t>EUR</t>
        </is>
      </c>
      <c r="C15" s="17">
        <f>-Opex!C39</f>
        <v/>
      </c>
      <c r="D15" s="17">
        <f>-Opex!D39</f>
        <v/>
      </c>
      <c r="E15" s="17">
        <f>-Opex!E39</f>
        <v/>
      </c>
      <c r="F15" s="17">
        <f>-Opex!F39</f>
        <v/>
      </c>
      <c r="G15" s="17">
        <f>-Opex!G39</f>
        <v/>
      </c>
      <c r="H15" s="17">
        <f>-Opex!H39</f>
        <v/>
      </c>
      <c r="I15" s="17">
        <f>-Opex!I39</f>
        <v/>
      </c>
      <c r="J15" s="17">
        <f>-Opex!J39</f>
        <v/>
      </c>
      <c r="K15" s="17">
        <f>-Opex!K39</f>
        <v/>
      </c>
      <c r="L15" s="17">
        <f>-Opex!L39</f>
        <v/>
      </c>
      <c r="M15" s="17">
        <f>-Opex!M39</f>
        <v/>
      </c>
    </row>
    <row r="16">
      <c r="A16" t="inlineStr">
        <is>
          <t xml:space="preserve">  - Production staff</t>
        </is>
      </c>
      <c r="B16" t="inlineStr">
        <is>
          <t>EUR</t>
        </is>
      </c>
      <c r="C16" s="17">
        <f>-Opex!C42</f>
        <v/>
      </c>
      <c r="D16" s="17">
        <f>-Opex!D42</f>
        <v/>
      </c>
      <c r="E16" s="17">
        <f>-Opex!E42</f>
        <v/>
      </c>
      <c r="F16" s="17">
        <f>-Opex!F42</f>
        <v/>
      </c>
      <c r="G16" s="17">
        <f>-Opex!G42</f>
        <v/>
      </c>
      <c r="H16" s="17">
        <f>-Opex!H42</f>
        <v/>
      </c>
      <c r="I16" s="17">
        <f>-Opex!I42</f>
        <v/>
      </c>
      <c r="J16" s="17">
        <f>-Opex!J42</f>
        <v/>
      </c>
      <c r="K16" s="17">
        <f>-Opex!K42</f>
        <v/>
      </c>
      <c r="L16" s="17">
        <f>-Opex!L42</f>
        <v/>
      </c>
      <c r="M16" s="17">
        <f>-Opex!M42</f>
        <v/>
      </c>
    </row>
    <row r="17">
      <c r="A17" t="inlineStr">
        <is>
          <t xml:space="preserve">  - Maintenance</t>
        </is>
      </c>
      <c r="B17" t="inlineStr">
        <is>
          <t>EUR</t>
        </is>
      </c>
      <c r="C17" s="17">
        <f>-Opex!C43</f>
        <v/>
      </c>
      <c r="D17" s="17">
        <f>-Opex!D43</f>
        <v/>
      </c>
      <c r="E17" s="17">
        <f>-Opex!E43</f>
        <v/>
      </c>
      <c r="F17" s="17">
        <f>-Opex!F43</f>
        <v/>
      </c>
      <c r="G17" s="17">
        <f>-Opex!G43</f>
        <v/>
      </c>
      <c r="H17" s="17">
        <f>-Opex!H43</f>
        <v/>
      </c>
      <c r="I17" s="17">
        <f>-Opex!I43</f>
        <v/>
      </c>
      <c r="J17" s="17">
        <f>-Opex!J43</f>
        <v/>
      </c>
      <c r="K17" s="17">
        <f>-Opex!K43</f>
        <v/>
      </c>
      <c r="L17" s="17">
        <f>-Opex!L43</f>
        <v/>
      </c>
      <c r="M17" s="17">
        <f>-Opex!M43</f>
        <v/>
      </c>
    </row>
    <row r="18">
      <c r="A18" t="inlineStr">
        <is>
          <t xml:space="preserve">  - Certification &amp; testing</t>
        </is>
      </c>
      <c r="B18" t="inlineStr">
        <is>
          <t>EUR</t>
        </is>
      </c>
      <c r="C18" s="17">
        <f>-Opex!C44</f>
        <v/>
      </c>
      <c r="D18" s="17">
        <f>-Opex!D44</f>
        <v/>
      </c>
      <c r="E18" s="17">
        <f>-Opex!E44</f>
        <v/>
      </c>
      <c r="F18" s="17">
        <f>-Opex!F44</f>
        <v/>
      </c>
      <c r="G18" s="17">
        <f>-Opex!G44</f>
        <v/>
      </c>
      <c r="H18" s="17">
        <f>-Opex!H44</f>
        <v/>
      </c>
      <c r="I18" s="17">
        <f>-Opex!I44</f>
        <v/>
      </c>
      <c r="J18" s="17">
        <f>-Opex!J44</f>
        <v/>
      </c>
      <c r="K18" s="17">
        <f>-Opex!K44</f>
        <v/>
      </c>
      <c r="L18" s="17">
        <f>-Opex!L44</f>
        <v/>
      </c>
      <c r="M18" s="17">
        <f>-Opex!M44</f>
        <v/>
      </c>
    </row>
    <row r="19">
      <c r="A19" t="inlineStr">
        <is>
          <t xml:space="preserve">  - Site lease</t>
        </is>
      </c>
      <c r="B19" t="inlineStr">
        <is>
          <t>EUR</t>
        </is>
      </c>
      <c r="C19" s="17">
        <f>-Opex!C45</f>
        <v/>
      </c>
      <c r="D19" s="17">
        <f>-Opex!D45</f>
        <v/>
      </c>
      <c r="E19" s="17">
        <f>-Opex!E45</f>
        <v/>
      </c>
      <c r="F19" s="17">
        <f>-Opex!F45</f>
        <v/>
      </c>
      <c r="G19" s="17">
        <f>-Opex!G45</f>
        <v/>
      </c>
      <c r="H19" s="17">
        <f>-Opex!H45</f>
        <v/>
      </c>
      <c r="I19" s="17">
        <f>-Opex!I45</f>
        <v/>
      </c>
      <c r="J19" s="17">
        <f>-Opex!J45</f>
        <v/>
      </c>
      <c r="K19" s="17">
        <f>-Opex!K45</f>
        <v/>
      </c>
      <c r="L19" s="17">
        <f>-Opex!L45</f>
        <v/>
      </c>
      <c r="M19" s="17">
        <f>-Opex!M45</f>
        <v/>
      </c>
    </row>
    <row r="20">
      <c r="A20" t="inlineStr">
        <is>
          <t xml:space="preserve">  - SG&amp;A staff</t>
        </is>
      </c>
      <c r="B20" t="inlineStr">
        <is>
          <t>EUR</t>
        </is>
      </c>
      <c r="C20" s="17">
        <f>-Opex!C46</f>
        <v/>
      </c>
      <c r="D20" s="17">
        <f>-Opex!D46</f>
        <v/>
      </c>
      <c r="E20" s="17">
        <f>-Opex!E46</f>
        <v/>
      </c>
      <c r="F20" s="17">
        <f>-Opex!F46</f>
        <v/>
      </c>
      <c r="G20" s="17">
        <f>-Opex!G46</f>
        <v/>
      </c>
      <c r="H20" s="17">
        <f>-Opex!H46</f>
        <v/>
      </c>
      <c r="I20" s="17">
        <f>-Opex!I46</f>
        <v/>
      </c>
      <c r="J20" s="17">
        <f>-Opex!J46</f>
        <v/>
      </c>
      <c r="K20" s="17">
        <f>-Opex!K46</f>
        <v/>
      </c>
      <c r="L20" s="17">
        <f>-Opex!L46</f>
        <v/>
      </c>
      <c r="M20" s="17">
        <f>-Opex!M46</f>
        <v/>
      </c>
    </row>
    <row r="21">
      <c r="A21" t="inlineStr">
        <is>
          <t xml:space="preserve">  - SG&amp;A non-staff</t>
        </is>
      </c>
      <c r="B21" t="inlineStr">
        <is>
          <t>EUR</t>
        </is>
      </c>
      <c r="C21" s="17">
        <f>-Opex!C47</f>
        <v/>
      </c>
      <c r="D21" s="17">
        <f>-Opex!D47</f>
        <v/>
      </c>
      <c r="E21" s="17">
        <f>-Opex!E47</f>
        <v/>
      </c>
      <c r="F21" s="17">
        <f>-Opex!F47</f>
        <v/>
      </c>
      <c r="G21" s="17">
        <f>-Opex!G47</f>
        <v/>
      </c>
      <c r="H21" s="17">
        <f>-Opex!H47</f>
        <v/>
      </c>
      <c r="I21" s="17">
        <f>-Opex!I47</f>
        <v/>
      </c>
      <c r="J21" s="17">
        <f>-Opex!J47</f>
        <v/>
      </c>
      <c r="K21" s="17">
        <f>-Opex!K47</f>
        <v/>
      </c>
      <c r="L21" s="17">
        <f>-Opex!L47</f>
        <v/>
      </c>
      <c r="M21" s="17">
        <f>-Opex!M47</f>
        <v/>
      </c>
    </row>
    <row r="22">
      <c r="A22" t="inlineStr">
        <is>
          <t xml:space="preserve">  - Extra fixed opex (hook)</t>
        </is>
      </c>
      <c r="B22" t="inlineStr">
        <is>
          <t>EUR</t>
        </is>
      </c>
      <c r="C22" s="17">
        <f>-Opex!C48</f>
        <v/>
      </c>
      <c r="D22" s="17">
        <f>-Opex!D48</f>
        <v/>
      </c>
      <c r="E22" s="17">
        <f>-Opex!E48</f>
        <v/>
      </c>
      <c r="F22" s="17">
        <f>-Opex!F48</f>
        <v/>
      </c>
      <c r="G22" s="17">
        <f>-Opex!G48</f>
        <v/>
      </c>
      <c r="H22" s="17">
        <f>-Opex!H48</f>
        <v/>
      </c>
      <c r="I22" s="17">
        <f>-Opex!I48</f>
        <v/>
      </c>
      <c r="J22" s="17">
        <f>-Opex!J48</f>
        <v/>
      </c>
      <c r="K22" s="17">
        <f>-Opex!K48</f>
        <v/>
      </c>
      <c r="L22" s="17">
        <f>-Opex!L48</f>
        <v/>
      </c>
      <c r="M22" s="17">
        <f>-Opex!M48</f>
        <v/>
      </c>
    </row>
    <row r="23">
      <c r="A23" t="inlineStr">
        <is>
          <t xml:space="preserve">  - One-off start-up costs</t>
        </is>
      </c>
      <c r="B23" t="inlineStr">
        <is>
          <t>EUR</t>
        </is>
      </c>
      <c r="C23" s="17">
        <f>-Opex!C50</f>
        <v/>
      </c>
      <c r="D23" s="17">
        <f>-Opex!D50</f>
        <v/>
      </c>
      <c r="E23" s="17">
        <f>-Opex!E50</f>
        <v/>
      </c>
      <c r="F23" s="17">
        <f>-Opex!F50</f>
        <v/>
      </c>
      <c r="G23" s="17">
        <f>-Opex!G50</f>
        <v/>
      </c>
      <c r="H23" s="17">
        <f>-Opex!H50</f>
        <v/>
      </c>
      <c r="I23" s="17">
        <f>-Opex!I50</f>
        <v/>
      </c>
      <c r="J23" s="17">
        <f>-Opex!J50</f>
        <v/>
      </c>
      <c r="K23" s="17">
        <f>-Opex!K50</f>
        <v/>
      </c>
      <c r="L23" s="17">
        <f>-Opex!L50</f>
        <v/>
      </c>
      <c r="M23" s="17">
        <f>-Opex!M50</f>
        <v/>
      </c>
    </row>
    <row r="24">
      <c r="A24" s="2" t="inlineStr">
        <is>
          <t>EBITDA</t>
        </is>
      </c>
      <c r="B24" t="inlineStr">
        <is>
          <t>EUR</t>
        </is>
      </c>
      <c r="C24" s="18">
        <f>C9+C10+C11+C12+C13+C14+C15+C16+C17+C18+C19+C20+C21+C22+C23</f>
        <v/>
      </c>
      <c r="D24" s="18">
        <f>D9+D10+D11+D12+D13+D14+D15+D16+D17+D18+D19+D20+D21+D22+D23</f>
        <v/>
      </c>
      <c r="E24" s="18">
        <f>E9+E10+E11+E12+E13+E14+E15+E16+E17+E18+E19+E20+E21+E22+E23</f>
        <v/>
      </c>
      <c r="F24" s="18">
        <f>F9+F10+F11+F12+F13+F14+F15+F16+F17+F18+F19+F20+F21+F22+F23</f>
        <v/>
      </c>
      <c r="G24" s="18">
        <f>G9+G10+G11+G12+G13+G14+G15+G16+G17+G18+G19+G20+G21+G22+G23</f>
        <v/>
      </c>
      <c r="H24" s="18">
        <f>H9+H10+H11+H12+H13+H14+H15+H16+H17+H18+H19+H20+H21+H22+H23</f>
        <v/>
      </c>
      <c r="I24" s="18">
        <f>I9+I10+I11+I12+I13+I14+I15+I16+I17+I18+I19+I20+I21+I22+I23</f>
        <v/>
      </c>
      <c r="J24" s="18">
        <f>J9+J10+J11+J12+J13+J14+J15+J16+J17+J18+J19+J20+J21+J22+J23</f>
        <v/>
      </c>
      <c r="K24" s="18">
        <f>K9+K10+K11+K12+K13+K14+K15+K16+K17+K18+K19+K20+K21+K22+K23</f>
        <v/>
      </c>
      <c r="L24" s="18">
        <f>L9+L10+L11+L12+L13+L14+L15+L16+L17+L18+L19+L20+L21+L22+L23</f>
        <v/>
      </c>
      <c r="M24" s="18">
        <f>M9+M10+M11+M12+M13+M14+M15+M16+M17+M18+M19+M20+M21+M22+M23</f>
        <v/>
      </c>
    </row>
    <row r="25">
      <c r="A25" t="inlineStr">
        <is>
          <t>EBITDA margin</t>
        </is>
      </c>
      <c r="B25" t="inlineStr">
        <is>
          <t>%</t>
        </is>
      </c>
      <c r="C25" s="19">
        <f>IF(C9&lt;&gt;0,C24/C9,0)</f>
        <v/>
      </c>
      <c r="D25" s="19">
        <f>IF(D9&lt;&gt;0,D24/D9,0)</f>
        <v/>
      </c>
      <c r="E25" s="19">
        <f>IF(E9&lt;&gt;0,E24/E9,0)</f>
        <v/>
      </c>
      <c r="F25" s="19">
        <f>IF(F9&lt;&gt;0,F24/F9,0)</f>
        <v/>
      </c>
      <c r="G25" s="19">
        <f>IF(G9&lt;&gt;0,G24/G9,0)</f>
        <v/>
      </c>
      <c r="H25" s="19">
        <f>IF(H9&lt;&gt;0,H24/H9,0)</f>
        <v/>
      </c>
      <c r="I25" s="19">
        <f>IF(I9&lt;&gt;0,I24/I9,0)</f>
        <v/>
      </c>
      <c r="J25" s="19">
        <f>IF(J9&lt;&gt;0,J24/J9,0)</f>
        <v/>
      </c>
      <c r="K25" s="19">
        <f>IF(K9&lt;&gt;0,K24/K9,0)</f>
        <v/>
      </c>
      <c r="L25" s="19">
        <f>IF(L9&lt;&gt;0,L24/L9,0)</f>
        <v/>
      </c>
      <c r="M25" s="19">
        <f>IF(M9&lt;&gt;0,M24/M9,0)</f>
        <v/>
      </c>
    </row>
    <row r="26">
      <c r="A26" t="inlineStr">
        <is>
          <t xml:space="preserve">  - Depreciation &amp; amortisation</t>
        </is>
      </c>
      <c r="B26" t="inlineStr">
        <is>
          <t>EUR</t>
        </is>
      </c>
      <c r="C26" s="17">
        <f>-Capex!C26</f>
        <v/>
      </c>
      <c r="D26" s="17">
        <f>-Capex!D26</f>
        <v/>
      </c>
      <c r="E26" s="17">
        <f>-Capex!E26</f>
        <v/>
      </c>
      <c r="F26" s="17">
        <f>-Capex!F26</f>
        <v/>
      </c>
      <c r="G26" s="17">
        <f>-Capex!G26</f>
        <v/>
      </c>
      <c r="H26" s="17">
        <f>-Capex!H26</f>
        <v/>
      </c>
      <c r="I26" s="17">
        <f>-Capex!I26</f>
        <v/>
      </c>
      <c r="J26" s="17">
        <f>-Capex!J26</f>
        <v/>
      </c>
      <c r="K26" s="17">
        <f>-Capex!K26</f>
        <v/>
      </c>
      <c r="L26" s="17">
        <f>-Capex!L26</f>
        <v/>
      </c>
      <c r="M26" s="17">
        <f>-Capex!M26</f>
        <v/>
      </c>
    </row>
    <row r="27">
      <c r="A27" s="2" t="inlineStr">
        <is>
          <t>EBIT</t>
        </is>
      </c>
      <c r="B27" t="inlineStr">
        <is>
          <t>EUR</t>
        </is>
      </c>
      <c r="C27" s="18">
        <f>C24+C26</f>
        <v/>
      </c>
      <c r="D27" s="18">
        <f>D24+D26</f>
        <v/>
      </c>
      <c r="E27" s="18">
        <f>E24+E26</f>
        <v/>
      </c>
      <c r="F27" s="18">
        <f>F24+F26</f>
        <v/>
      </c>
      <c r="G27" s="18">
        <f>G24+G26</f>
        <v/>
      </c>
      <c r="H27" s="18">
        <f>H24+H26</f>
        <v/>
      </c>
      <c r="I27" s="18">
        <f>I24+I26</f>
        <v/>
      </c>
      <c r="J27" s="18">
        <f>J24+J26</f>
        <v/>
      </c>
      <c r="K27" s="18">
        <f>K24+K26</f>
        <v/>
      </c>
      <c r="L27" s="18">
        <f>L24+L26</f>
        <v/>
      </c>
      <c r="M27" s="18">
        <f>M24+M26</f>
        <v/>
      </c>
    </row>
    <row r="28">
      <c r="A28" t="inlineStr">
        <is>
          <t xml:space="preserve">  + Grant income</t>
        </is>
      </c>
      <c r="B28" t="inlineStr">
        <is>
          <t>EUR</t>
        </is>
      </c>
      <c r="C28" s="17">
        <f>Capex!C17</f>
        <v/>
      </c>
      <c r="D28" s="17">
        <f>Capex!D17</f>
        <v/>
      </c>
      <c r="E28" s="17">
        <f>Capex!E17</f>
        <v/>
      </c>
      <c r="F28" s="17">
        <f>Capex!F17</f>
        <v/>
      </c>
      <c r="G28" s="17">
        <f>Capex!G17</f>
        <v/>
      </c>
      <c r="H28" s="17">
        <f>Capex!H17</f>
        <v/>
      </c>
      <c r="I28" s="17">
        <f>Capex!I17</f>
        <v/>
      </c>
      <c r="J28" s="17">
        <f>Capex!J17</f>
        <v/>
      </c>
      <c r="K28" s="17">
        <f>Capex!K17</f>
        <v/>
      </c>
      <c r="L28" s="17">
        <f>Capex!L17</f>
        <v/>
      </c>
      <c r="M28" s="17">
        <f>Capex!M17</f>
        <v/>
      </c>
    </row>
    <row r="29">
      <c r="A29" s="2" t="inlineStr">
        <is>
          <t>PROFIT BEFORE TAX</t>
        </is>
      </c>
      <c r="B29" t="inlineStr">
        <is>
          <t>EUR</t>
        </is>
      </c>
      <c r="C29" s="18">
        <f>C27+C28</f>
        <v/>
      </c>
      <c r="D29" s="18">
        <f>D27+D28</f>
        <v/>
      </c>
      <c r="E29" s="18">
        <f>E27+E28</f>
        <v/>
      </c>
      <c r="F29" s="18">
        <f>F27+F28</f>
        <v/>
      </c>
      <c r="G29" s="18">
        <f>G27+G28</f>
        <v/>
      </c>
      <c r="H29" s="18">
        <f>H27+H28</f>
        <v/>
      </c>
      <c r="I29" s="18">
        <f>I27+I28</f>
        <v/>
      </c>
      <c r="J29" s="18">
        <f>J27+J28</f>
        <v/>
      </c>
      <c r="K29" s="18">
        <f>K27+K28</f>
        <v/>
      </c>
      <c r="L29" s="18">
        <f>L27+L28</f>
        <v/>
      </c>
      <c r="M29" s="18">
        <f>M27+M28</f>
        <v/>
      </c>
    </row>
    <row r="30">
      <c r="A30" s="16" t="inlineStr">
        <is>
          <t>Corporate income tax (Vpb)</t>
        </is>
      </c>
    </row>
    <row r="31">
      <c r="A31" t="inlineStr">
        <is>
          <t>MIA deduction</t>
        </is>
      </c>
      <c r="B31" t="inlineStr">
        <is>
          <t>EUR</t>
        </is>
      </c>
      <c r="C31" s="17">
        <f>Capex!C18</f>
        <v/>
      </c>
      <c r="D31" s="17">
        <f>Capex!D18</f>
        <v/>
      </c>
      <c r="E31" s="17">
        <f>Capex!E18</f>
        <v/>
      </c>
      <c r="F31" s="17">
        <f>Capex!F18</f>
        <v/>
      </c>
      <c r="G31" s="17">
        <f>Capex!G18</f>
        <v/>
      </c>
      <c r="H31" s="17">
        <f>Capex!H18</f>
        <v/>
      </c>
      <c r="I31" s="17">
        <f>Capex!I18</f>
        <v/>
      </c>
      <c r="J31" s="17">
        <f>Capex!J18</f>
        <v/>
      </c>
      <c r="K31" s="17">
        <f>Capex!K18</f>
        <v/>
      </c>
      <c r="L31" s="17">
        <f>Capex!L18</f>
        <v/>
      </c>
      <c r="M31" s="17">
        <f>Capex!M18</f>
        <v/>
      </c>
    </row>
    <row r="32">
      <c r="A32" t="inlineStr">
        <is>
          <t>Taxable result before loss offset</t>
        </is>
      </c>
      <c r="B32" t="inlineStr">
        <is>
          <t>EUR</t>
        </is>
      </c>
      <c r="C32" s="17">
        <f>C29-C31</f>
        <v/>
      </c>
      <c r="D32" s="17">
        <f>D29-D31</f>
        <v/>
      </c>
      <c r="E32" s="17">
        <f>E29-E31</f>
        <v/>
      </c>
      <c r="F32" s="17">
        <f>F29-F31</f>
        <v/>
      </c>
      <c r="G32" s="17">
        <f>G29-G31</f>
        <v/>
      </c>
      <c r="H32" s="17">
        <f>H29-H31</f>
        <v/>
      </c>
      <c r="I32" s="17">
        <f>I29-I31</f>
        <v/>
      </c>
      <c r="J32" s="17">
        <f>J29-J31</f>
        <v/>
      </c>
      <c r="K32" s="17">
        <f>K29-K31</f>
        <v/>
      </c>
      <c r="L32" s="17">
        <f>L29-L31</f>
        <v/>
      </c>
      <c r="M32" s="17">
        <f>M29-M31</f>
        <v/>
      </c>
    </row>
    <row r="33">
      <c r="A33" t="inlineStr">
        <is>
          <t>Taxable profit after loss offset</t>
        </is>
      </c>
      <c r="B33" t="inlineStr">
        <is>
          <t>EUR</t>
        </is>
      </c>
      <c r="C33" s="17">
        <f>MAX(0,C32)</f>
        <v/>
      </c>
      <c r="D33" s="17">
        <f>MAX(0,D32-C34)</f>
        <v/>
      </c>
      <c r="E33" s="17">
        <f>MAX(0,E32-D34)</f>
        <v/>
      </c>
      <c r="F33" s="17">
        <f>MAX(0,F32-E34)</f>
        <v/>
      </c>
      <c r="G33" s="17">
        <f>MAX(0,G32-F34)</f>
        <v/>
      </c>
      <c r="H33" s="17">
        <f>MAX(0,H32-G34)</f>
        <v/>
      </c>
      <c r="I33" s="17">
        <f>MAX(0,I32-H34)</f>
        <v/>
      </c>
      <c r="J33" s="17">
        <f>MAX(0,J32-I34)</f>
        <v/>
      </c>
      <c r="K33" s="17">
        <f>MAX(0,K32-J34)</f>
        <v/>
      </c>
      <c r="L33" s="17">
        <f>MAX(0,L32-K34)</f>
        <v/>
      </c>
      <c r="M33" s="17">
        <f>MAX(0,M32-L34)</f>
        <v/>
      </c>
    </row>
    <row r="34">
      <c r="A34" t="inlineStr">
        <is>
          <t>Tax-loss pool carried forward (end of year)</t>
        </is>
      </c>
      <c r="B34" t="inlineStr">
        <is>
          <t>EUR</t>
        </is>
      </c>
      <c r="C34" s="17">
        <f>MAX(0,-C32)</f>
        <v/>
      </c>
      <c r="D34" s="17">
        <f>MAX(0,C34-D32)</f>
        <v/>
      </c>
      <c r="E34" s="17">
        <f>MAX(0,D34-E32)</f>
        <v/>
      </c>
      <c r="F34" s="17">
        <f>MAX(0,E34-F32)</f>
        <v/>
      </c>
      <c r="G34" s="17">
        <f>MAX(0,F34-G32)</f>
        <v/>
      </c>
      <c r="H34" s="17">
        <f>MAX(0,G34-H32)</f>
        <v/>
      </c>
      <c r="I34" s="17">
        <f>MAX(0,H34-I32)</f>
        <v/>
      </c>
      <c r="J34" s="17">
        <f>MAX(0,I34-J32)</f>
        <v/>
      </c>
      <c r="K34" s="17">
        <f>MAX(0,J34-K32)</f>
        <v/>
      </c>
      <c r="L34" s="17">
        <f>MAX(0,K34-L32)</f>
        <v/>
      </c>
      <c r="M34" s="17">
        <f>MAX(0,L34-M32)</f>
        <v/>
      </c>
    </row>
    <row r="35">
      <c r="A35" t="inlineStr">
        <is>
          <t>Corporate income tax</t>
        </is>
      </c>
      <c r="B35" t="inlineStr">
        <is>
          <t>EUR</t>
        </is>
      </c>
      <c r="C35" s="17">
        <f>MIN(C33,tax_vpb_low_bracket_limit)*tax_rate_vpb_low_bracket/100+MAX(0,C33-tax_vpb_low_bracket_limit)*tax_rate_vpb_high_bracket/100</f>
        <v/>
      </c>
      <c r="D35" s="17">
        <f>MIN(D33,tax_vpb_low_bracket_limit)*tax_rate_vpb_low_bracket/100+MAX(0,D33-tax_vpb_low_bracket_limit)*tax_rate_vpb_high_bracket/100</f>
        <v/>
      </c>
      <c r="E35" s="17">
        <f>MIN(E33,tax_vpb_low_bracket_limit)*tax_rate_vpb_low_bracket/100+MAX(0,E33-tax_vpb_low_bracket_limit)*tax_rate_vpb_high_bracket/100</f>
        <v/>
      </c>
      <c r="F35" s="17">
        <f>MIN(F33,tax_vpb_low_bracket_limit)*tax_rate_vpb_low_bracket/100+MAX(0,F33-tax_vpb_low_bracket_limit)*tax_rate_vpb_high_bracket/100</f>
        <v/>
      </c>
      <c r="G35" s="17">
        <f>MIN(G33,tax_vpb_low_bracket_limit)*tax_rate_vpb_low_bracket/100+MAX(0,G33-tax_vpb_low_bracket_limit)*tax_rate_vpb_high_bracket/100</f>
        <v/>
      </c>
      <c r="H35" s="17">
        <f>MIN(H33,tax_vpb_low_bracket_limit)*tax_rate_vpb_low_bracket/100+MAX(0,H33-tax_vpb_low_bracket_limit)*tax_rate_vpb_high_bracket/100</f>
        <v/>
      </c>
      <c r="I35" s="17">
        <f>MIN(I33,tax_vpb_low_bracket_limit)*tax_rate_vpb_low_bracket/100+MAX(0,I33-tax_vpb_low_bracket_limit)*tax_rate_vpb_high_bracket/100</f>
        <v/>
      </c>
      <c r="J35" s="17">
        <f>MIN(J33,tax_vpb_low_bracket_limit)*tax_rate_vpb_low_bracket/100+MAX(0,J33-tax_vpb_low_bracket_limit)*tax_rate_vpb_high_bracket/100</f>
        <v/>
      </c>
      <c r="K35" s="17">
        <f>MIN(K33,tax_vpb_low_bracket_limit)*tax_rate_vpb_low_bracket/100+MAX(0,K33-tax_vpb_low_bracket_limit)*tax_rate_vpb_high_bracket/100</f>
        <v/>
      </c>
      <c r="L35" s="17">
        <f>MIN(L33,tax_vpb_low_bracket_limit)*tax_rate_vpb_low_bracket/100+MAX(0,L33-tax_vpb_low_bracket_limit)*tax_rate_vpb_high_bracket/100</f>
        <v/>
      </c>
      <c r="M35" s="17">
        <f>MIN(M33,tax_vpb_low_bracket_limit)*tax_rate_vpb_low_bracket/100+MAX(0,M33-tax_vpb_low_bracket_limit)*tax_rate_vpb_high_bracket/100</f>
        <v/>
      </c>
    </row>
    <row r="36">
      <c r="A36" s="2" t="inlineStr">
        <is>
          <t>NET INCOME</t>
        </is>
      </c>
      <c r="B36" t="inlineStr">
        <is>
          <t>EUR</t>
        </is>
      </c>
      <c r="C36" s="18">
        <f>C29-C35</f>
        <v/>
      </c>
      <c r="D36" s="18">
        <f>D29-D35</f>
        <v/>
      </c>
      <c r="E36" s="18">
        <f>E29-E35</f>
        <v/>
      </c>
      <c r="F36" s="18">
        <f>F29-F35</f>
        <v/>
      </c>
      <c r="G36" s="18">
        <f>G29-G35</f>
        <v/>
      </c>
      <c r="H36" s="18">
        <f>H29-H35</f>
        <v/>
      </c>
      <c r="I36" s="18">
        <f>I29-I35</f>
        <v/>
      </c>
      <c r="J36" s="18">
        <f>J29-J35</f>
        <v/>
      </c>
      <c r="K36" s="18">
        <f>K29-K35</f>
        <v/>
      </c>
      <c r="L36" s="18">
        <f>L29-L35</f>
        <v/>
      </c>
      <c r="M36" s="18">
        <f>M29-M35</f>
        <v/>
      </c>
    </row>
    <row r="37">
      <c r="A37" s="16" t="inlineStr">
        <is>
          <t>Checks (must be 0)</t>
        </is>
      </c>
    </row>
    <row r="38">
      <c r="A38" t="inlineStr">
        <is>
          <t>Check: revenue lines - Revenue sheet total</t>
        </is>
      </c>
      <c r="B38" t="inlineStr">
        <is>
          <t>EUR</t>
        </is>
      </c>
      <c r="C38" s="24">
        <f>C9-Revenue!C28</f>
        <v/>
      </c>
      <c r="D38" s="24">
        <f>D9-Revenue!D28</f>
        <v/>
      </c>
      <c r="E38" s="24">
        <f>E9-Revenue!E28</f>
        <v/>
      </c>
      <c r="F38" s="24">
        <f>F9-Revenue!F28</f>
        <v/>
      </c>
      <c r="G38" s="24">
        <f>G9-Revenue!G28</f>
        <v/>
      </c>
      <c r="H38" s="24">
        <f>H9-Revenue!H28</f>
        <v/>
      </c>
      <c r="I38" s="24">
        <f>I9-Revenue!I28</f>
        <v/>
      </c>
      <c r="J38" s="24">
        <f>J9-Revenue!J28</f>
        <v/>
      </c>
      <c r="K38" s="24">
        <f>K9-Revenue!K28</f>
        <v/>
      </c>
      <c r="L38" s="24">
        <f>L9-Revenue!L28</f>
        <v/>
      </c>
      <c r="M38" s="24">
        <f>M9-Revenue!M28</f>
        <v/>
      </c>
    </row>
    <row r="39">
      <c r="A39" t="inlineStr">
        <is>
          <t>Check: sum of cost lines + Opex total</t>
        </is>
      </c>
      <c r="B39" t="inlineStr">
        <is>
          <t>EUR</t>
        </is>
      </c>
      <c r="C39" s="24">
        <f>C10+C11+C12+C13+C14+C15+C16+C17+C18+C19+C20+C21+C22+C23+Opex!C51</f>
        <v/>
      </c>
      <c r="D39" s="24">
        <f>D10+D11+D12+D13+D14+D15+D16+D17+D18+D19+D20+D21+D22+D23+Opex!D51</f>
        <v/>
      </c>
      <c r="E39" s="24">
        <f>E10+E11+E12+E13+E14+E15+E16+E17+E18+E19+E20+E21+E22+E23+Opex!E51</f>
        <v/>
      </c>
      <c r="F39" s="24">
        <f>F10+F11+F12+F13+F14+F15+F16+F17+F18+F19+F20+F21+F22+F23+Opex!F51</f>
        <v/>
      </c>
      <c r="G39" s="24">
        <f>G10+G11+G12+G13+G14+G15+G16+G17+G18+G19+G20+G21+G22+G23+Opex!G51</f>
        <v/>
      </c>
      <c r="H39" s="24">
        <f>H10+H11+H12+H13+H14+H15+H16+H17+H18+H19+H20+H21+H22+H23+Opex!H51</f>
        <v/>
      </c>
      <c r="I39" s="24">
        <f>I10+I11+I12+I13+I14+I15+I16+I17+I18+I19+I20+I21+I22+I23+Opex!I51</f>
        <v/>
      </c>
      <c r="J39" s="24">
        <f>J10+J11+J12+J13+J14+J15+J16+J17+J18+J19+J20+J21+J22+J23+Opex!J51</f>
        <v/>
      </c>
      <c r="K39" s="24">
        <f>K10+K11+K12+K13+K14+K15+K16+K17+K18+K19+K20+K21+K22+K23+Opex!K51</f>
        <v/>
      </c>
      <c r="L39" s="24">
        <f>L10+L11+L12+L13+L14+L15+L16+L17+L18+L19+L20+L21+L22+L23+Opex!L51</f>
        <v/>
      </c>
      <c r="M39" s="24">
        <f>M10+M11+M12+M13+M14+M15+M16+M17+M18+M19+M20+M21+M22+M23+Opex!M51</f>
        <v/>
      </c>
    </row>
    <row r="40">
      <c r="A40" t="inlineStr">
        <is>
          <t>Check: EBITDA - (revenue - total opex)</t>
        </is>
      </c>
      <c r="B40" t="inlineStr">
        <is>
          <t>EUR</t>
        </is>
      </c>
      <c r="C40" s="24">
        <f>C24-(Revenue!C28-Opex!C51)</f>
        <v/>
      </c>
      <c r="D40" s="24">
        <f>D24-(Revenue!D28-Opex!D51)</f>
        <v/>
      </c>
      <c r="E40" s="24">
        <f>E24-(Revenue!E28-Opex!E51)</f>
        <v/>
      </c>
      <c r="F40" s="24">
        <f>F24-(Revenue!F28-Opex!F51)</f>
        <v/>
      </c>
      <c r="G40" s="24">
        <f>G24-(Revenue!G28-Opex!G51)</f>
        <v/>
      </c>
      <c r="H40" s="24">
        <f>H24-(Revenue!H28-Opex!H51)</f>
        <v/>
      </c>
      <c r="I40" s="24">
        <f>I24-(Revenue!I28-Opex!I51)</f>
        <v/>
      </c>
      <c r="J40" s="24">
        <f>J24-(Revenue!J28-Opex!J51)</f>
        <v/>
      </c>
      <c r="K40" s="24">
        <f>K24-(Revenue!K28-Opex!K51)</f>
        <v/>
      </c>
      <c r="L40" s="24">
        <f>L24-(Revenue!L28-Opex!L51)</f>
        <v/>
      </c>
      <c r="M40" s="24">
        <f>M24-(Revenue!M28-Opex!M51)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Free cash flow (unlevered, EUR real 2026)</t>
        </is>
      </c>
    </row>
    <row r="2">
      <c r="A2" s="5" t="inlineStr">
        <is>
          <t>Terminal value = salvage only (t=10). Working capital is not released at the end.</t>
        </is>
      </c>
    </row>
    <row r="3">
      <c r="A3" s="13" t="inlineStr">
        <is>
          <t>Year</t>
        </is>
      </c>
      <c r="B3" s="13" t="inlineStr">
        <is>
          <t>unit</t>
        </is>
      </c>
      <c r="C3" s="14">
        <f>2026+C4</f>
        <v/>
      </c>
      <c r="D3" s="14">
        <f>2026+D4</f>
        <v/>
      </c>
      <c r="E3" s="14">
        <f>2026+E4</f>
        <v/>
      </c>
      <c r="F3" s="14">
        <f>2026+F4</f>
        <v/>
      </c>
      <c r="G3" s="14">
        <f>2026+G4</f>
        <v/>
      </c>
      <c r="H3" s="14">
        <f>2026+H4</f>
        <v/>
      </c>
      <c r="I3" s="14">
        <f>2026+I4</f>
        <v/>
      </c>
      <c r="J3" s="14">
        <f>2026+J4</f>
        <v/>
      </c>
      <c r="K3" s="14">
        <f>2026+K4</f>
        <v/>
      </c>
      <c r="L3" s="14">
        <f>2026+L4</f>
        <v/>
      </c>
      <c r="M3" s="14">
        <f>2026+M4</f>
        <v/>
      </c>
    </row>
    <row r="4">
      <c r="A4" s="13" t="inlineStr">
        <is>
          <t>t (year index)</t>
        </is>
      </c>
      <c r="B4" s="15" t="n"/>
      <c r="C4" s="14" t="n">
        <v>0</v>
      </c>
      <c r="D4" s="14" t="n">
        <v>1</v>
      </c>
      <c r="E4" s="14" t="n">
        <v>2</v>
      </c>
      <c r="F4" s="14" t="n">
        <v>3</v>
      </c>
      <c r="G4" s="14" t="n">
        <v>4</v>
      </c>
      <c r="H4" s="14" t="n">
        <v>5</v>
      </c>
      <c r="I4" s="14" t="n">
        <v>6</v>
      </c>
      <c r="J4" s="14" t="n">
        <v>7</v>
      </c>
      <c r="K4" s="14" t="n">
        <v>8</v>
      </c>
      <c r="L4" s="14" t="n">
        <v>9</v>
      </c>
      <c r="M4" s="14" t="n">
        <v>10</v>
      </c>
    </row>
    <row r="6">
      <c r="A6" t="inlineStr">
        <is>
          <t>EBITDA</t>
        </is>
      </c>
      <c r="B6" t="inlineStr">
        <is>
          <t>EUR</t>
        </is>
      </c>
      <c r="C6" s="17">
        <f>PnL!C24</f>
        <v/>
      </c>
      <c r="D6" s="17">
        <f>PnL!D24</f>
        <v/>
      </c>
      <c r="E6" s="17">
        <f>PnL!E24</f>
        <v/>
      </c>
      <c r="F6" s="17">
        <f>PnL!F24</f>
        <v/>
      </c>
      <c r="G6" s="17">
        <f>PnL!G24</f>
        <v/>
      </c>
      <c r="H6" s="17">
        <f>PnL!H24</f>
        <v/>
      </c>
      <c r="I6" s="17">
        <f>PnL!I24</f>
        <v/>
      </c>
      <c r="J6" s="17">
        <f>PnL!J24</f>
        <v/>
      </c>
      <c r="K6" s="17">
        <f>PnL!K24</f>
        <v/>
      </c>
      <c r="L6" s="17">
        <f>PnL!L24</f>
        <v/>
      </c>
      <c r="M6" s="17">
        <f>PnL!M24</f>
        <v/>
      </c>
    </row>
    <row r="7">
      <c r="A7" t="inlineStr">
        <is>
          <t>Grant received</t>
        </is>
      </c>
      <c r="B7" t="inlineStr">
        <is>
          <t>EUR</t>
        </is>
      </c>
      <c r="C7" s="17">
        <f>Capex!C17</f>
        <v/>
      </c>
      <c r="D7" s="17">
        <f>Capex!D17</f>
        <v/>
      </c>
      <c r="E7" s="17">
        <f>Capex!E17</f>
        <v/>
      </c>
      <c r="F7" s="17">
        <f>Capex!F17</f>
        <v/>
      </c>
      <c r="G7" s="17">
        <f>Capex!G17</f>
        <v/>
      </c>
      <c r="H7" s="17">
        <f>Capex!H17</f>
        <v/>
      </c>
      <c r="I7" s="17">
        <f>Capex!I17</f>
        <v/>
      </c>
      <c r="J7" s="17">
        <f>Capex!J17</f>
        <v/>
      </c>
      <c r="K7" s="17">
        <f>Capex!K17</f>
        <v/>
      </c>
      <c r="L7" s="17">
        <f>Capex!L17</f>
        <v/>
      </c>
      <c r="M7" s="17">
        <f>Capex!M17</f>
        <v/>
      </c>
    </row>
    <row r="8">
      <c r="A8" t="inlineStr">
        <is>
          <t>Tax paid (same year)</t>
        </is>
      </c>
      <c r="B8" t="inlineStr">
        <is>
          <t>EUR</t>
        </is>
      </c>
      <c r="C8" s="17">
        <f>-PnL!C35</f>
        <v/>
      </c>
      <c r="D8" s="17">
        <f>-PnL!D35</f>
        <v/>
      </c>
      <c r="E8" s="17">
        <f>-PnL!E35</f>
        <v/>
      </c>
      <c r="F8" s="17">
        <f>-PnL!F35</f>
        <v/>
      </c>
      <c r="G8" s="17">
        <f>-PnL!G35</f>
        <v/>
      </c>
      <c r="H8" s="17">
        <f>-PnL!H35</f>
        <v/>
      </c>
      <c r="I8" s="17">
        <f>-PnL!I35</f>
        <v/>
      </c>
      <c r="J8" s="17">
        <f>-PnL!J35</f>
        <v/>
      </c>
      <c r="K8" s="17">
        <f>-PnL!K35</f>
        <v/>
      </c>
      <c r="L8" s="17">
        <f>-PnL!L35</f>
        <v/>
      </c>
      <c r="M8" s="17">
        <f>-PnL!M35</f>
        <v/>
      </c>
    </row>
    <row r="9">
      <c r="A9" s="16" t="inlineStr">
        <is>
          <t>Working capital</t>
        </is>
      </c>
    </row>
    <row r="10">
      <c r="A10" t="inlineStr">
        <is>
          <t>Receivables</t>
        </is>
      </c>
      <c r="B10" t="inlineStr">
        <is>
          <t>EUR</t>
        </is>
      </c>
      <c r="C10" s="17">
        <f>Revenue!C28*working_capital_receivable_days/365</f>
        <v/>
      </c>
      <c r="D10" s="17">
        <f>Revenue!D28*working_capital_receivable_days/365</f>
        <v/>
      </c>
      <c r="E10" s="17">
        <f>Revenue!E28*working_capital_receivable_days/365</f>
        <v/>
      </c>
      <c r="F10" s="17">
        <f>Revenue!F28*working_capital_receivable_days/365</f>
        <v/>
      </c>
      <c r="G10" s="17">
        <f>Revenue!G28*working_capital_receivable_days/365</f>
        <v/>
      </c>
      <c r="H10" s="17">
        <f>Revenue!H28*working_capital_receivable_days/365</f>
        <v/>
      </c>
      <c r="I10" s="17">
        <f>Revenue!I28*working_capital_receivable_days/365</f>
        <v/>
      </c>
      <c r="J10" s="17">
        <f>Revenue!J28*working_capital_receivable_days/365</f>
        <v/>
      </c>
      <c r="K10" s="17">
        <f>Revenue!K28*working_capital_receivable_days/365</f>
        <v/>
      </c>
      <c r="L10" s="17">
        <f>Revenue!L28*working_capital_receivable_days/365</f>
        <v/>
      </c>
      <c r="M10" s="17">
        <f>Revenue!M28*working_capital_receivable_days/365</f>
        <v/>
      </c>
    </row>
    <row r="11">
      <c r="A11" t="inlineStr">
        <is>
          <t>Inventory (raw materials)</t>
        </is>
      </c>
      <c r="B11" t="inlineStr">
        <is>
          <t>EUR</t>
        </is>
      </c>
      <c r="C11" s="17">
        <f>Opex!C34*working_capital_inventory_days/365</f>
        <v/>
      </c>
      <c r="D11" s="17">
        <f>Opex!D34*working_capital_inventory_days/365</f>
        <v/>
      </c>
      <c r="E11" s="17">
        <f>Opex!E34*working_capital_inventory_days/365</f>
        <v/>
      </c>
      <c r="F11" s="17">
        <f>Opex!F34*working_capital_inventory_days/365</f>
        <v/>
      </c>
      <c r="G11" s="17">
        <f>Opex!G34*working_capital_inventory_days/365</f>
        <v/>
      </c>
      <c r="H11" s="17">
        <f>Opex!H34*working_capital_inventory_days/365</f>
        <v/>
      </c>
      <c r="I11" s="17">
        <f>Opex!I34*working_capital_inventory_days/365</f>
        <v/>
      </c>
      <c r="J11" s="17">
        <f>Opex!J34*working_capital_inventory_days/365</f>
        <v/>
      </c>
      <c r="K11" s="17">
        <f>Opex!K34*working_capital_inventory_days/365</f>
        <v/>
      </c>
      <c r="L11" s="17">
        <f>Opex!L34*working_capital_inventory_days/365</f>
        <v/>
      </c>
      <c r="M11" s="17">
        <f>Opex!M34*working_capital_inventory_days/365</f>
        <v/>
      </c>
    </row>
    <row r="12">
      <c r="A12" t="inlineStr">
        <is>
          <t>Payables (raw materials)</t>
        </is>
      </c>
      <c r="B12" t="inlineStr">
        <is>
          <t>EUR</t>
        </is>
      </c>
      <c r="C12" s="17">
        <f>Opex!C34*working_capital_payable_days/365</f>
        <v/>
      </c>
      <c r="D12" s="17">
        <f>Opex!D34*working_capital_payable_days/365</f>
        <v/>
      </c>
      <c r="E12" s="17">
        <f>Opex!E34*working_capital_payable_days/365</f>
        <v/>
      </c>
      <c r="F12" s="17">
        <f>Opex!F34*working_capital_payable_days/365</f>
        <v/>
      </c>
      <c r="G12" s="17">
        <f>Opex!G34*working_capital_payable_days/365</f>
        <v/>
      </c>
      <c r="H12" s="17">
        <f>Opex!H34*working_capital_payable_days/365</f>
        <v/>
      </c>
      <c r="I12" s="17">
        <f>Opex!I34*working_capital_payable_days/365</f>
        <v/>
      </c>
      <c r="J12" s="17">
        <f>Opex!J34*working_capital_payable_days/365</f>
        <v/>
      </c>
      <c r="K12" s="17">
        <f>Opex!K34*working_capital_payable_days/365</f>
        <v/>
      </c>
      <c r="L12" s="17">
        <f>Opex!L34*working_capital_payable_days/365</f>
        <v/>
      </c>
      <c r="M12" s="17">
        <f>Opex!M34*working_capital_payable_days/365</f>
        <v/>
      </c>
    </row>
    <row r="13">
      <c r="A13" s="2" t="inlineStr">
        <is>
          <t>Net working capital</t>
        </is>
      </c>
      <c r="B13" t="inlineStr">
        <is>
          <t>EUR</t>
        </is>
      </c>
      <c r="C13" s="18">
        <f>C10+C11-C12</f>
        <v/>
      </c>
      <c r="D13" s="18">
        <f>D10+D11-D12</f>
        <v/>
      </c>
      <c r="E13" s="18">
        <f>E10+E11-E12</f>
        <v/>
      </c>
      <c r="F13" s="18">
        <f>F10+F11-F12</f>
        <v/>
      </c>
      <c r="G13" s="18">
        <f>G10+G11-G12</f>
        <v/>
      </c>
      <c r="H13" s="18">
        <f>H10+H11-H12</f>
        <v/>
      </c>
      <c r="I13" s="18">
        <f>I10+I11-I12</f>
        <v/>
      </c>
      <c r="J13" s="18">
        <f>J10+J11-J12</f>
        <v/>
      </c>
      <c r="K13" s="18">
        <f>K10+K11-K12</f>
        <v/>
      </c>
      <c r="L13" s="18">
        <f>L10+L11-L12</f>
        <v/>
      </c>
      <c r="M13" s="18">
        <f>M10+M11-M12</f>
        <v/>
      </c>
    </row>
    <row r="14">
      <c r="A14" t="inlineStr">
        <is>
          <t>Change in working capital (cash out = negative)</t>
        </is>
      </c>
      <c r="B14" t="inlineStr">
        <is>
          <t>EUR</t>
        </is>
      </c>
      <c r="C14" s="17">
        <f>-C13</f>
        <v/>
      </c>
      <c r="D14" s="17">
        <f>-(D13-C13)</f>
        <v/>
      </c>
      <c r="E14" s="17">
        <f>-(E13-D13)</f>
        <v/>
      </c>
      <c r="F14" s="17">
        <f>-(F13-E13)</f>
        <v/>
      </c>
      <c r="G14" s="17">
        <f>-(G13-F13)</f>
        <v/>
      </c>
      <c r="H14" s="17">
        <f>-(H13-G13)</f>
        <v/>
      </c>
      <c r="I14" s="17">
        <f>-(I13-H13)</f>
        <v/>
      </c>
      <c r="J14" s="17">
        <f>-(J13-I13)</f>
        <v/>
      </c>
      <c r="K14" s="17">
        <f>-(K13-J13)</f>
        <v/>
      </c>
      <c r="L14" s="17">
        <f>-(L13-K13)</f>
        <v/>
      </c>
      <c r="M14" s="17">
        <f>-(M13-L13)</f>
        <v/>
      </c>
    </row>
    <row r="15">
      <c r="A15" s="16" t="inlineStr">
        <is>
          <t>Investment</t>
        </is>
      </c>
    </row>
    <row r="16">
      <c r="A16" t="inlineStr">
        <is>
          <t>Initial capex</t>
        </is>
      </c>
      <c r="B16" t="inlineStr">
        <is>
          <t>EUR</t>
        </is>
      </c>
      <c r="C16" s="17">
        <f>-Capex!C12</f>
        <v/>
      </c>
      <c r="D16" s="17">
        <f>-Capex!D12</f>
        <v/>
      </c>
      <c r="E16" s="17">
        <f>-Capex!E12</f>
        <v/>
      </c>
      <c r="F16" s="17">
        <f>-Capex!F12</f>
        <v/>
      </c>
      <c r="G16" s="17">
        <f>-Capex!G12</f>
        <v/>
      </c>
      <c r="H16" s="17">
        <f>-Capex!H12</f>
        <v/>
      </c>
      <c r="I16" s="17">
        <f>-Capex!I12</f>
        <v/>
      </c>
      <c r="J16" s="17">
        <f>-Capex!J12</f>
        <v/>
      </c>
      <c r="K16" s="17">
        <f>-Capex!K12</f>
        <v/>
      </c>
      <c r="L16" s="17">
        <f>-Capex!L12</f>
        <v/>
      </c>
      <c r="M16" s="17">
        <f>-Capex!M12</f>
        <v/>
      </c>
    </row>
    <row r="17">
      <c r="A17" t="inlineStr">
        <is>
          <t>Sustaining capex</t>
        </is>
      </c>
      <c r="B17" t="inlineStr">
        <is>
          <t>EUR</t>
        </is>
      </c>
      <c r="C17" s="17">
        <f>-Capex!C21</f>
        <v/>
      </c>
      <c r="D17" s="17">
        <f>-Capex!D21</f>
        <v/>
      </c>
      <c r="E17" s="17">
        <f>-Capex!E21</f>
        <v/>
      </c>
      <c r="F17" s="17">
        <f>-Capex!F21</f>
        <v/>
      </c>
      <c r="G17" s="17">
        <f>-Capex!G21</f>
        <v/>
      </c>
      <c r="H17" s="17">
        <f>-Capex!H21</f>
        <v/>
      </c>
      <c r="I17" s="17">
        <f>-Capex!I21</f>
        <v/>
      </c>
      <c r="J17" s="17">
        <f>-Capex!J21</f>
        <v/>
      </c>
      <c r="K17" s="17">
        <f>-Capex!K21</f>
        <v/>
      </c>
      <c r="L17" s="17">
        <f>-Capex!L21</f>
        <v/>
      </c>
      <c r="M17" s="17">
        <f>-Capex!M21</f>
        <v/>
      </c>
    </row>
    <row r="18">
      <c r="A18" t="inlineStr">
        <is>
          <t>Salvage value (terminal value)</t>
        </is>
      </c>
      <c r="B18" t="inlineStr">
        <is>
          <t>EUR</t>
        </is>
      </c>
      <c r="C18" s="17">
        <f>Capex!C28</f>
        <v/>
      </c>
      <c r="D18" s="17">
        <f>Capex!D28</f>
        <v/>
      </c>
      <c r="E18" s="17">
        <f>Capex!E28</f>
        <v/>
      </c>
      <c r="F18" s="17">
        <f>Capex!F28</f>
        <v/>
      </c>
      <c r="G18" s="17">
        <f>Capex!G28</f>
        <v/>
      </c>
      <c r="H18" s="17">
        <f>Capex!H28</f>
        <v/>
      </c>
      <c r="I18" s="17">
        <f>Capex!I28</f>
        <v/>
      </c>
      <c r="J18" s="17">
        <f>Capex!J28</f>
        <v/>
      </c>
      <c r="K18" s="17">
        <f>Capex!K28</f>
        <v/>
      </c>
      <c r="L18" s="17">
        <f>Capex!L28</f>
        <v/>
      </c>
      <c r="M18" s="17">
        <f>Capex!M28</f>
        <v/>
      </c>
    </row>
    <row r="19">
      <c r="A19" s="2" t="inlineStr">
        <is>
          <t>FREE CASH FLOW</t>
        </is>
      </c>
      <c r="B19" t="inlineStr">
        <is>
          <t>EUR</t>
        </is>
      </c>
      <c r="C19" s="18">
        <f>C6+C7+C8+C14+C16+C17+C18</f>
        <v/>
      </c>
      <c r="D19" s="18">
        <f>D6+D7+D8+D14+D16+D17+D18</f>
        <v/>
      </c>
      <c r="E19" s="18">
        <f>E6+E7+E8+E14+E16+E17+E18</f>
        <v/>
      </c>
      <c r="F19" s="18">
        <f>F6+F7+F8+F14+F16+F17+F18</f>
        <v/>
      </c>
      <c r="G19" s="18">
        <f>G6+G7+G8+G14+G16+G17+G18</f>
        <v/>
      </c>
      <c r="H19" s="18">
        <f>H6+H7+H8+H14+H16+H17+H18</f>
        <v/>
      </c>
      <c r="I19" s="18">
        <f>I6+I7+I8+I14+I16+I17+I18</f>
        <v/>
      </c>
      <c r="J19" s="18">
        <f>J6+J7+J8+J14+J16+J17+J18</f>
        <v/>
      </c>
      <c r="K19" s="18">
        <f>K6+K7+K8+K14+K16+K17+K18</f>
        <v/>
      </c>
      <c r="L19" s="18">
        <f>L6+L7+L8+L14+L16+L17+L18</f>
        <v/>
      </c>
      <c r="M19" s="18">
        <f>M6+M7+M8+M14+M16+M17+M18</f>
        <v/>
      </c>
    </row>
    <row r="20">
      <c r="A20" t="inlineStr">
        <is>
          <t>Cumulative free cash flow</t>
        </is>
      </c>
      <c r="B20" t="inlineStr">
        <is>
          <t>EUR</t>
        </is>
      </c>
      <c r="C20" s="17">
        <f>SUM($C$19:C19)</f>
        <v/>
      </c>
      <c r="D20" s="17">
        <f>SUM($C$19:D19)</f>
        <v/>
      </c>
      <c r="E20" s="17">
        <f>SUM($C$19:E19)</f>
        <v/>
      </c>
      <c r="F20" s="17">
        <f>SUM($C$19:F19)</f>
        <v/>
      </c>
      <c r="G20" s="17">
        <f>SUM($C$19:G19)</f>
        <v/>
      </c>
      <c r="H20" s="17">
        <f>SUM($C$19:H19)</f>
        <v/>
      </c>
      <c r="I20" s="17">
        <f>SUM($C$19:I19)</f>
        <v/>
      </c>
      <c r="J20" s="17">
        <f>SUM($C$19:J19)</f>
        <v/>
      </c>
      <c r="K20" s="17">
        <f>SUM($C$19:K19)</f>
        <v/>
      </c>
      <c r="L20" s="17">
        <f>SUM($C$19:L19)</f>
        <v/>
      </c>
      <c r="M20" s="17">
        <f>SUM($C$19:M19)</f>
        <v/>
      </c>
    </row>
    <row r="21">
      <c r="A21" t="inlineStr">
        <is>
          <t>Discount factor</t>
        </is>
      </c>
      <c r="B21" t="inlineStr">
        <is>
          <t>x</t>
        </is>
      </c>
      <c r="C21" s="23">
        <f>1/(1+discount_rate_real/100)^C$4</f>
        <v/>
      </c>
      <c r="D21" s="23">
        <f>1/(1+discount_rate_real/100)^D$4</f>
        <v/>
      </c>
      <c r="E21" s="23">
        <f>1/(1+discount_rate_real/100)^E$4</f>
        <v/>
      </c>
      <c r="F21" s="23">
        <f>1/(1+discount_rate_real/100)^F$4</f>
        <v/>
      </c>
      <c r="G21" s="23">
        <f>1/(1+discount_rate_real/100)^G$4</f>
        <v/>
      </c>
      <c r="H21" s="23">
        <f>1/(1+discount_rate_real/100)^H$4</f>
        <v/>
      </c>
      <c r="I21" s="23">
        <f>1/(1+discount_rate_real/100)^I$4</f>
        <v/>
      </c>
      <c r="J21" s="23">
        <f>1/(1+discount_rate_real/100)^J$4</f>
        <v/>
      </c>
      <c r="K21" s="23">
        <f>1/(1+discount_rate_real/100)^K$4</f>
        <v/>
      </c>
      <c r="L21" s="23">
        <f>1/(1+discount_rate_real/100)^L$4</f>
        <v/>
      </c>
      <c r="M21" s="23">
        <f>1/(1+discount_rate_real/100)^M$4</f>
        <v/>
      </c>
    </row>
    <row r="22">
      <c r="A22" t="inlineStr">
        <is>
          <t>Discounted free cash flow</t>
        </is>
      </c>
      <c r="B22" t="inlineStr">
        <is>
          <t>EUR</t>
        </is>
      </c>
      <c r="C22" s="17">
        <f>C19*C21</f>
        <v/>
      </c>
      <c r="D22" s="17">
        <f>D19*D21</f>
        <v/>
      </c>
      <c r="E22" s="17">
        <f>E19*E21</f>
        <v/>
      </c>
      <c r="F22" s="17">
        <f>F19*F21</f>
        <v/>
      </c>
      <c r="G22" s="17">
        <f>G19*G21</f>
        <v/>
      </c>
      <c r="H22" s="17">
        <f>H19*H21</f>
        <v/>
      </c>
      <c r="I22" s="17">
        <f>I19*I21</f>
        <v/>
      </c>
      <c r="J22" s="17">
        <f>J19*J21</f>
        <v/>
      </c>
      <c r="K22" s="17">
        <f>K19*K21</f>
        <v/>
      </c>
      <c r="L22" s="17">
        <f>L19*L21</f>
        <v/>
      </c>
      <c r="M22" s="17">
        <f>M19*M21</f>
        <v/>
      </c>
    </row>
    <row r="23">
      <c r="A23" t="inlineStr">
        <is>
          <t>Cumulative discounted FCF</t>
        </is>
      </c>
      <c r="B23" t="inlineStr">
        <is>
          <t>EUR</t>
        </is>
      </c>
      <c r="C23" s="17">
        <f>SUM($C$22:C22)</f>
        <v/>
      </c>
      <c r="D23" s="17">
        <f>SUM($C$22:D22)</f>
        <v/>
      </c>
      <c r="E23" s="17">
        <f>SUM($C$22:E22)</f>
        <v/>
      </c>
      <c r="F23" s="17">
        <f>SUM($C$22:F22)</f>
        <v/>
      </c>
      <c r="G23" s="17">
        <f>SUM($C$22:G22)</f>
        <v/>
      </c>
      <c r="H23" s="17">
        <f>SUM($C$22:H22)</f>
        <v/>
      </c>
      <c r="I23" s="17">
        <f>SUM($C$22:I22)</f>
        <v/>
      </c>
      <c r="J23" s="17">
        <f>SUM($C$22:J22)</f>
        <v/>
      </c>
      <c r="K23" s="17">
        <f>SUM($C$22:K22)</f>
        <v/>
      </c>
      <c r="L23" s="17">
        <f>SUM($C$22:L22)</f>
        <v/>
      </c>
      <c r="M23" s="17">
        <f>SUM($C$22:M22)</f>
        <v/>
      </c>
    </row>
    <row r="24">
      <c r="A24" s="16" t="inlineStr">
        <is>
          <t>Payback helpers (cash flow EXCLUDING salvage)</t>
        </is>
      </c>
    </row>
    <row r="25">
      <c r="A25" t="inlineStr">
        <is>
          <t>FCF excl. salvage</t>
        </is>
      </c>
      <c r="B25" t="inlineStr">
        <is>
          <t>EUR</t>
        </is>
      </c>
      <c r="C25" s="17">
        <f>C19-C18</f>
        <v/>
      </c>
      <c r="D25" s="17">
        <f>D19-D18</f>
        <v/>
      </c>
      <c r="E25" s="17">
        <f>E19-E18</f>
        <v/>
      </c>
      <c r="F25" s="17">
        <f>F19-F18</f>
        <v/>
      </c>
      <c r="G25" s="17">
        <f>G19-G18</f>
        <v/>
      </c>
      <c r="H25" s="17">
        <f>H19-H18</f>
        <v/>
      </c>
      <c r="I25" s="17">
        <f>I19-I18</f>
        <v/>
      </c>
      <c r="J25" s="17">
        <f>J19-J18</f>
        <v/>
      </c>
      <c r="K25" s="17">
        <f>K19-K18</f>
        <v/>
      </c>
      <c r="L25" s="17">
        <f>L19-L18</f>
        <v/>
      </c>
      <c r="M25" s="17">
        <f>M19-M18</f>
        <v/>
      </c>
    </row>
    <row r="26">
      <c r="A26" t="inlineStr">
        <is>
          <t>Cumulative FCF excl. salvage</t>
        </is>
      </c>
      <c r="B26" t="inlineStr">
        <is>
          <t>EUR</t>
        </is>
      </c>
      <c r="C26" s="17">
        <f>SUM($C$25:C25)</f>
        <v/>
      </c>
      <c r="D26" s="17">
        <f>SUM($C$25:D25)</f>
        <v/>
      </c>
      <c r="E26" s="17">
        <f>SUM($C$25:E25)</f>
        <v/>
      </c>
      <c r="F26" s="17">
        <f>SUM($C$25:F25)</f>
        <v/>
      </c>
      <c r="G26" s="17">
        <f>SUM($C$25:G25)</f>
        <v/>
      </c>
      <c r="H26" s="17">
        <f>SUM($C$25:H25)</f>
        <v/>
      </c>
      <c r="I26" s="17">
        <f>SUM($C$25:I25)</f>
        <v/>
      </c>
      <c r="J26" s="17">
        <f>SUM($C$25:J25)</f>
        <v/>
      </c>
      <c r="K26" s="17">
        <f>SUM($C$25:K25)</f>
        <v/>
      </c>
      <c r="L26" s="17">
        <f>SUM($C$25:L25)</f>
        <v/>
      </c>
      <c r="M26" s="17">
        <f>SUM($C$25:M25)</f>
        <v/>
      </c>
    </row>
    <row r="27">
      <c r="A27" t="inlineStr">
        <is>
          <t>Cumulative discounted FCF excl. salvage</t>
        </is>
      </c>
      <c r="B27" t="inlineStr">
        <is>
          <t>EUR</t>
        </is>
      </c>
      <c r="C27" s="17">
        <f>SUMPRODUCT($C$25:C25,$C$21:C21)</f>
        <v/>
      </c>
      <c r="D27" s="17">
        <f>SUMPRODUCT($C$25:D25,$C$21:D21)</f>
        <v/>
      </c>
      <c r="E27" s="17">
        <f>SUMPRODUCT($C$25:E25,$C$21:E21)</f>
        <v/>
      </c>
      <c r="F27" s="17">
        <f>SUMPRODUCT($C$25:F25,$C$21:F21)</f>
        <v/>
      </c>
      <c r="G27" s="17">
        <f>SUMPRODUCT($C$25:G25,$C$21:G21)</f>
        <v/>
      </c>
      <c r="H27" s="17">
        <f>SUMPRODUCT($C$25:H25,$C$21:H21)</f>
        <v/>
      </c>
      <c r="I27" s="17">
        <f>SUMPRODUCT($C$25:I25,$C$21:I21)</f>
        <v/>
      </c>
      <c r="J27" s="17">
        <f>SUMPRODUCT($C$25:J25,$C$21:J21)</f>
        <v/>
      </c>
      <c r="K27" s="17">
        <f>SUMPRODUCT($C$25:K25,$C$21:K21)</f>
        <v/>
      </c>
      <c r="L27" s="17">
        <f>SUMPRODUCT($C$25:L25,$C$21:L21)</f>
        <v/>
      </c>
      <c r="M27" s="17">
        <f>SUMPRODUCT($C$25:M25,$C$21:M21)</f>
        <v/>
      </c>
    </row>
    <row r="28">
      <c r="A28" t="inlineStr">
        <is>
          <t>Payback crossing (year, interpolated)</t>
        </is>
      </c>
      <c r="B28" t="inlineStr">
        <is>
          <t>yr</t>
        </is>
      </c>
      <c r="D28" s="25">
        <f>IF(AND(C26&lt;0,D26&gt;=0),D$4-1+(-C26)/(D26-C26),"")</f>
        <v/>
      </c>
      <c r="E28" s="25">
        <f>IF(AND(D26&lt;0,E26&gt;=0),E$4-1+(-D26)/(E26-D26),"")</f>
        <v/>
      </c>
      <c r="F28" s="25">
        <f>IF(AND(E26&lt;0,F26&gt;=0),F$4-1+(-E26)/(F26-E26),"")</f>
        <v/>
      </c>
      <c r="G28" s="25">
        <f>IF(AND(F26&lt;0,G26&gt;=0),G$4-1+(-F26)/(G26-F26),"")</f>
        <v/>
      </c>
      <c r="H28" s="25">
        <f>IF(AND(G26&lt;0,H26&gt;=0),H$4-1+(-G26)/(H26-G26),"")</f>
        <v/>
      </c>
      <c r="I28" s="25">
        <f>IF(AND(H26&lt;0,I26&gt;=0),I$4-1+(-H26)/(I26-H26),"")</f>
        <v/>
      </c>
      <c r="J28" s="25">
        <f>IF(AND(I26&lt;0,J26&gt;=0),J$4-1+(-I26)/(J26-I26),"")</f>
        <v/>
      </c>
      <c r="K28" s="25">
        <f>IF(AND(J26&lt;0,K26&gt;=0),K$4-1+(-J26)/(K26-J26),"")</f>
        <v/>
      </c>
      <c r="L28" s="25">
        <f>IF(AND(K26&lt;0,L26&gt;=0),L$4-1+(-K26)/(L26-K26),"")</f>
        <v/>
      </c>
      <c r="M28" s="25">
        <f>IF(AND(L26&lt;0,M26&gt;=0),M$4-1+(-L26)/(M26-L26),"")</f>
        <v/>
      </c>
    </row>
    <row r="29">
      <c r="A29" t="inlineStr">
        <is>
          <t>Discounted payback crossing (year)</t>
        </is>
      </c>
      <c r="B29" t="inlineStr">
        <is>
          <t>yr</t>
        </is>
      </c>
      <c r="D29" s="25">
        <f>IF(AND(C27&lt;0,D27&gt;=0),D$4-1+(-C27)/(D27-C27),"")</f>
        <v/>
      </c>
      <c r="E29" s="25">
        <f>IF(AND(D27&lt;0,E27&gt;=0),E$4-1+(-D27)/(E27-D27),"")</f>
        <v/>
      </c>
      <c r="F29" s="25">
        <f>IF(AND(E27&lt;0,F27&gt;=0),F$4-1+(-E27)/(F27-E27),"")</f>
        <v/>
      </c>
      <c r="G29" s="25">
        <f>IF(AND(F27&lt;0,G27&gt;=0),G$4-1+(-F27)/(G27-F27),"")</f>
        <v/>
      </c>
      <c r="H29" s="25">
        <f>IF(AND(G27&lt;0,H27&gt;=0),H$4-1+(-G27)/(H27-G27),"")</f>
        <v/>
      </c>
      <c r="I29" s="25">
        <f>IF(AND(H27&lt;0,I27&gt;=0),I$4-1+(-H27)/(I27-H27),"")</f>
        <v/>
      </c>
      <c r="J29" s="25">
        <f>IF(AND(I27&lt;0,J27&gt;=0),J$4-1+(-I27)/(J27-I27),"")</f>
        <v/>
      </c>
      <c r="K29" s="25">
        <f>IF(AND(J27&lt;0,K27&gt;=0),K$4-1+(-J27)/(K27-J27),"")</f>
        <v/>
      </c>
      <c r="L29" s="25">
        <f>IF(AND(K27&lt;0,L27&gt;=0),L$4-1+(-K27)/(L27-K27),"")</f>
        <v/>
      </c>
      <c r="M29" s="25">
        <f>IF(AND(L27&lt;0,M27&gt;=0),M$4-1+(-L27)/(M27-L27),"")</f>
        <v/>
      </c>
    </row>
    <row r="30">
      <c r="A30" s="16" t="inlineStr">
        <is>
          <t>Reconciliation (must be 0)</t>
        </is>
      </c>
    </row>
    <row r="31">
      <c r="A31" t="inlineStr">
        <is>
          <t>Check: FCF - (net income + D&amp;A + dWC - capex - sustaining + salvage)</t>
        </is>
      </c>
      <c r="B31" t="inlineStr">
        <is>
          <t>EUR</t>
        </is>
      </c>
      <c r="C31" s="24">
        <f>C19-(PnL!C36+Capex!C26+C14+C16+C17+C18)</f>
        <v/>
      </c>
      <c r="D31" s="24">
        <f>D19-(PnL!D36+Capex!D26+D14+D16+D17+D18)</f>
        <v/>
      </c>
      <c r="E31" s="24">
        <f>E19-(PnL!E36+Capex!E26+E14+E16+E17+E18)</f>
        <v/>
      </c>
      <c r="F31" s="24">
        <f>F19-(PnL!F36+Capex!F26+F14+F16+F17+F18)</f>
        <v/>
      </c>
      <c r="G31" s="24">
        <f>G19-(PnL!G36+Capex!G26+G14+G16+G17+G18)</f>
        <v/>
      </c>
      <c r="H31" s="24">
        <f>H19-(PnL!H36+Capex!H26+H14+H16+H17+H18)</f>
        <v/>
      </c>
      <c r="I31" s="24">
        <f>I19-(PnL!I36+Capex!I26+I14+I16+I17+I18)</f>
        <v/>
      </c>
      <c r="J31" s="24">
        <f>J19-(PnL!J36+Capex!J26+J14+J16+J17+J18)</f>
        <v/>
      </c>
      <c r="K31" s="24">
        <f>K19-(PnL!K36+Capex!K26+K14+K16+K17+K18)</f>
        <v/>
      </c>
      <c r="L31" s="24">
        <f>L19-(PnL!L36+Capex!L26+L14+L16+L17+L18)</f>
        <v/>
      </c>
      <c r="M31" s="24">
        <f>M19-(PnL!M36+Capex!M26+M14+M16+M17+M18)</f>
        <v/>
      </c>
    </row>
    <row r="32">
      <c r="A32" t="inlineStr">
        <is>
          <t>Check: EBITDA + grant - tax - (net income + D&amp;A)</t>
        </is>
      </c>
      <c r="B32" t="inlineStr">
        <is>
          <t>EUR</t>
        </is>
      </c>
      <c r="C32" s="24">
        <f>C6+C7+C8-(PnL!C36+Capex!C26)</f>
        <v/>
      </c>
      <c r="D32" s="24">
        <f>D6+D7+D8-(PnL!D36+Capex!D26)</f>
        <v/>
      </c>
      <c r="E32" s="24">
        <f>E6+E7+E8-(PnL!E36+Capex!E26)</f>
        <v/>
      </c>
      <c r="F32" s="24">
        <f>F6+F7+F8-(PnL!F36+Capex!F26)</f>
        <v/>
      </c>
      <c r="G32" s="24">
        <f>G6+G7+G8-(PnL!G36+Capex!G26)</f>
        <v/>
      </c>
      <c r="H32" s="24">
        <f>H6+H7+H8-(PnL!H36+Capex!H26)</f>
        <v/>
      </c>
      <c r="I32" s="24">
        <f>I6+I7+I8-(PnL!I36+Capex!I26)</f>
        <v/>
      </c>
      <c r="J32" s="24">
        <f>J6+J7+J8-(PnL!J36+Capex!J26)</f>
        <v/>
      </c>
      <c r="K32" s="24">
        <f>K6+K7+K8-(PnL!K36+Capex!K26)</f>
        <v/>
      </c>
      <c r="L32" s="24">
        <f>L6+L7+L8-(PnL!L36+Capex!L26)</f>
        <v/>
      </c>
      <c r="M32" s="24">
        <f>M6+M7+M8-(PnL!M36+Capex!M26)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4" customWidth="1" min="3" max="3"/>
    <col width="60" customWidth="1" min="4" max="4"/>
  </cols>
  <sheetData>
    <row r="1">
      <c r="A1" s="1" t="inlineStr">
        <is>
          <t>Valuation &amp; KPIs (active scenario)</t>
        </is>
      </c>
    </row>
    <row r="2">
      <c r="A2">
        <f>"Active scenario: "&amp;Inputs!D3</f>
        <v/>
      </c>
    </row>
    <row r="4">
      <c r="A4" s="6" t="inlineStr">
        <is>
          <t>KPI</t>
        </is>
      </c>
      <c r="B4" s="6" t="inlineStr">
        <is>
          <t>value</t>
        </is>
      </c>
      <c r="C4" s="6" t="inlineStr">
        <is>
          <t>unit</t>
        </is>
      </c>
      <c r="D4" s="6" t="inlineStr">
        <is>
          <t>how it is calculated</t>
        </is>
      </c>
    </row>
    <row r="5">
      <c r="A5" t="inlineStr">
        <is>
          <t>NPV at discount rate</t>
        </is>
      </c>
      <c r="B5" s="26">
        <f>SUMPRODUCT(CashFlow!$C$19:$M$19,CashFlow!$C$21:$M$21)</f>
        <v/>
      </c>
      <c r="C5" t="inlineStr">
        <is>
          <t>EUR</t>
        </is>
      </c>
      <c r="D5" s="5" t="inlineStr">
        <is>
          <t>sum of FCF x 1/(1+r)^t, t=0..10</t>
        </is>
      </c>
    </row>
    <row r="6">
      <c r="A6" t="inlineStr">
        <is>
          <t>NPV cross-check with Excel NPV()</t>
        </is>
      </c>
      <c r="B6" s="26">
        <f>CashFlow!$C$19+NPV(discount_rate_real/100,CashFlow!$D$19:$M$19)</f>
        <v/>
      </c>
      <c r="C6" t="inlineStr">
        <is>
          <t>EUR</t>
        </is>
      </c>
      <c r="D6" s="5" t="inlineStr">
        <is>
          <t>t=0 + NPV(r, t1..t10)</t>
        </is>
      </c>
    </row>
    <row r="7">
      <c r="A7" t="inlineStr">
        <is>
          <t>Discount rate (real)</t>
        </is>
      </c>
      <c r="B7" s="27">
        <f>discount_rate_real/100</f>
        <v/>
      </c>
      <c r="C7" t="inlineStr">
        <is>
          <t>%</t>
        </is>
      </c>
      <c r="D7" s="5" t="inlineStr">
        <is>
          <t>input</t>
        </is>
      </c>
    </row>
    <row r="8">
      <c r="A8" t="inlineStr">
        <is>
          <t>IRR (real)</t>
        </is>
      </c>
      <c r="B8" s="27">
        <f>IFERROR(IRR(CashFlow!$C$19:$M$19,0.1),"n/a")</f>
        <v/>
      </c>
      <c r="C8" t="inlineStr">
        <is>
          <t>%</t>
        </is>
      </c>
      <c r="D8" s="5" t="inlineStr">
        <is>
          <t>IRR of FCF t=0..10 incl. salvage</t>
        </is>
      </c>
    </row>
    <row r="9">
      <c r="A9" t="inlineStr">
        <is>
          <t>Payback period (simple)</t>
        </is>
      </c>
      <c r="B9" s="28">
        <f>IF(COUNT(CashFlow!$D$28:$M$28)=0,"not reached",MIN(CashFlow!$D$28:$M$28))</f>
        <v/>
      </c>
      <c r="C9" t="inlineStr">
        <is>
          <t>years from t=0</t>
        </is>
      </c>
      <c r="D9" s="5" t="inlineStr">
        <is>
          <t>first year cumulative FCF (excl. salvage) &gt;= 0, interpolated</t>
        </is>
      </c>
    </row>
    <row r="10">
      <c r="A10" t="inlineStr">
        <is>
          <t>Discounted payback period</t>
        </is>
      </c>
      <c r="B10" s="28">
        <f>IF(COUNT(CashFlow!$D$29:$M$29)=0,"not reached",MIN(CashFlow!$D$29:$M$29))</f>
        <v/>
      </c>
      <c r="C10" t="inlineStr">
        <is>
          <t>years from t=0</t>
        </is>
      </c>
      <c r="D10" s="5" t="inlineStr">
        <is>
          <t>same on discounted FCF</t>
        </is>
      </c>
    </row>
    <row r="11">
      <c r="A11" t="inlineStr">
        <is>
          <t>EBITDA year 3 (2029)</t>
        </is>
      </c>
      <c r="B11" s="26">
        <f>PnL!$F$24</f>
        <v/>
      </c>
      <c r="C11" t="inlineStr">
        <is>
          <t>EUR</t>
        </is>
      </c>
      <c r="D11" s="5" t="inlineStr">
        <is>
          <t>first year at full output</t>
        </is>
      </c>
    </row>
    <row r="12">
      <c r="A12" t="inlineStr">
        <is>
          <t>EBITDA year 1 (2027)</t>
        </is>
      </c>
      <c r="B12" s="26">
        <f>PnL!$D$24</f>
        <v/>
      </c>
      <c r="C12" t="inlineStr">
        <is>
          <t>EUR</t>
        </is>
      </c>
      <c r="D12" s="5" t="inlineStr"/>
    </row>
    <row r="13">
      <c r="A13" t="inlineStr">
        <is>
          <t>EBITDA year 10 (2036)</t>
        </is>
      </c>
      <c r="B13" s="26">
        <f>PnL!$M$24</f>
        <v/>
      </c>
      <c r="C13" t="inlineStr">
        <is>
          <t>EUR</t>
        </is>
      </c>
      <c r="D13" s="5" t="inlineStr"/>
    </row>
    <row r="14">
      <c r="A14" t="inlineStr">
        <is>
          <t>Funding need (peak cumulative negative FCF)</t>
        </is>
      </c>
      <c r="B14" s="26">
        <f>MAX(0,-MIN(CashFlow!$C$20:$M$20))</f>
        <v/>
      </c>
      <c r="C14" t="inlineStr">
        <is>
          <t>EUR</t>
        </is>
      </c>
      <c r="D14" s="5" t="inlineStr">
        <is>
          <t>equity/debt needed before the plant pays for itself</t>
        </is>
      </c>
    </row>
    <row r="15">
      <c r="A15" t="inlineStr">
        <is>
          <t>Initial capex</t>
        </is>
      </c>
      <c r="B15" s="26">
        <f>Capex!$C$12</f>
        <v/>
      </c>
      <c r="C15" t="inlineStr">
        <is>
          <t>EUR</t>
        </is>
      </c>
      <c r="D15" s="5" t="inlineStr">
        <is>
          <t>plant + civil + permits (+hooks)</t>
        </is>
      </c>
    </row>
    <row r="16">
      <c r="A16" t="inlineStr">
        <is>
          <t>NPV as % of initial capex</t>
        </is>
      </c>
      <c r="B16" s="27">
        <f>Valuation!$B$5/Valuation!$B$15</f>
        <v/>
      </c>
      <c r="C16" t="inlineStr">
        <is>
          <t>%</t>
        </is>
      </c>
      <c r="D16" s="5" t="inlineStr">
        <is>
          <t>borderline test: -10% .. 0%</t>
        </is>
      </c>
    </row>
    <row r="17">
      <c r="A17" t="inlineStr">
        <is>
          <t>Memo: NPV if working capital is released in 2036</t>
        </is>
      </c>
      <c r="B17" s="26">
        <f>Valuation!$B$5+CashFlow!$M$13*CashFlow!$M$21</f>
        <v/>
      </c>
      <c r="C17" t="inlineStr">
        <is>
          <t>EUR</t>
        </is>
      </c>
      <c r="D17" s="5" t="inlineStr">
        <is>
          <t>not used for the criteria (plan 2.1 allows salvage only)</t>
        </is>
      </c>
    </row>
    <row r="18">
      <c r="A18" t="inlineStr">
        <is>
          <t>Revenue year 3</t>
        </is>
      </c>
      <c r="B18" s="26">
        <f>Revenue!$F$28</f>
        <v/>
      </c>
      <c r="C18" t="inlineStr">
        <is>
          <t>EUR</t>
        </is>
      </c>
      <c r="D18" s="5" t="inlineStr"/>
    </row>
    <row r="19">
      <c r="A19" t="inlineStr">
        <is>
          <t>Contribution per m3, year 3</t>
        </is>
      </c>
      <c r="B19" s="29">
        <f>(Revenue!$F$28-Revenue!$F$27)/Revenue!$F$8-Opex!$F$40/Revenue!$F$8</f>
        <v/>
      </c>
      <c r="C19" t="inlineStr">
        <is>
          <t>EUR/m3</t>
        </is>
      </c>
      <c r="D19" s="5" t="inlineStr">
        <is>
          <t>price - variable costs (incl. bad debt, delivery)</t>
        </is>
      </c>
    </row>
    <row r="20">
      <c r="A20" t="inlineStr">
        <is>
          <t>Break-even volume EBITDA = 0 (year-3 prices &amp; fixed costs)</t>
        </is>
      </c>
      <c r="B20" s="26">
        <f>IF(Valuation!$B$19&gt;0,(Opex!$F$49-Revenue!$F$27)/Valuation!$B$19,"none")</f>
        <v/>
      </c>
      <c r="C20" t="inlineStr">
        <is>
          <t>m3/yr</t>
        </is>
      </c>
      <c r="D20" s="5" t="inlineStr">
        <is>
          <t>fixed costs / contribution per m3</t>
        </is>
      </c>
    </row>
    <row r="21">
      <c r="A21" t="inlineStr">
        <is>
          <t>Capital recovery charge (10 yr annuity of initial capex at r)</t>
        </is>
      </c>
      <c r="B21" s="26">
        <f>Valuation!$B$15*(discount_rate_real/100)/(1-(1+discount_rate_real/100)^-10)</f>
        <v/>
      </c>
      <c r="C21" t="inlineStr">
        <is>
          <t>EUR/yr</t>
        </is>
      </c>
      <c r="D21" s="5" t="inlineStr">
        <is>
          <t>memo</t>
        </is>
      </c>
    </row>
    <row r="22">
      <c r="A22" t="inlineStr">
        <is>
          <t>Volume where EBITDA covers the capital charge (year-3 basis, pre-tax)</t>
        </is>
      </c>
      <c r="B22" s="26">
        <f>IF(Valuation!$B$19&gt;0,(Opex!$F$49-Revenue!$F$27+Valuation!$B$21)/Valuation!$B$19,"none")</f>
        <v/>
      </c>
      <c r="C22" t="inlineStr">
        <is>
          <t>m3/yr</t>
        </is>
      </c>
      <c r="D22" s="5" t="inlineStr">
        <is>
          <t>rough NPV break-even; exact Python value below</t>
        </is>
      </c>
    </row>
    <row r="24">
      <c r="A24" s="30" t="inlineStr">
        <is>
          <t>Computed by model_core.py (base case, values - not live)</t>
        </is>
      </c>
    </row>
    <row r="25">
      <c r="A25" s="5" t="inlineStr">
        <is>
          <t>NPV break-even steady-state volume (same ramp %)</t>
        </is>
      </c>
      <c r="B25" s="31" t="n">
        <v>111842.2774425791</v>
      </c>
      <c r="C25" t="inlineStr">
        <is>
          <t>m3/yr</t>
        </is>
      </c>
    </row>
    <row r="26">
      <c r="A26" s="5" t="inlineStr">
        <is>
          <t>NPV break-even plant-average price (2026 basis)</t>
        </is>
      </c>
      <c r="B26" s="31" t="n">
        <v>149.2408139033952</v>
      </c>
      <c r="C26" t="inlineStr">
        <is>
          <t>EUR/m3</t>
        </is>
      </c>
    </row>
    <row r="27">
      <c r="A27" s="5" t="inlineStr">
        <is>
          <t>NPV break-even public green premium (private 0%)</t>
        </is>
      </c>
      <c r="B27" s="32" t="n">
        <v>46.05073529592165</v>
      </c>
      <c r="C27" t="inlineStr">
        <is>
          <t>% of price</t>
        </is>
      </c>
    </row>
    <row r="28">
      <c r="A28" s="5" t="inlineStr">
        <is>
          <t>NPV break-even plant-equipment capex</t>
        </is>
      </c>
      <c r="B28" s="32" t="n">
        <v>-0.4258015166278909</v>
      </c>
      <c r="C28" t="inlineStr">
        <is>
          <t>MEUR (negative = impossible)</t>
        </is>
      </c>
    </row>
    <row r="29">
      <c r="A29" s="5" t="inlineStr">
        <is>
          <t>NPV with 60k m3/yr steady state (market SOM)</t>
        </is>
      </c>
      <c r="B29" s="31" t="n">
        <v>-5920016.244529544</v>
      </c>
      <c r="C29" t="inlineStr">
        <is>
          <t>EUR</t>
        </is>
      </c>
    </row>
    <row r="30">
      <c r="A30" s="5" t="inlineStr">
        <is>
          <t>NPV at 6% discount rate</t>
        </is>
      </c>
      <c r="B30" s="31" t="n">
        <v>-4189318.92005319</v>
      </c>
      <c r="C30" t="inlineStr">
        <is>
          <t>EUR</t>
        </is>
      </c>
    </row>
    <row r="31">
      <c r="A31" s="5" t="inlineStr">
        <is>
          <t>NPV at 10% discount rate</t>
        </is>
      </c>
      <c r="B31" s="31" t="n">
        <v>-4726018.246720144</v>
      </c>
      <c r="C31" t="inlineStr">
        <is>
          <t>EUR</t>
        </is>
      </c>
    </row>
    <row r="32">
      <c r="A32" s="5" t="inlineStr">
        <is>
          <t>NPV without grant</t>
        </is>
      </c>
      <c r="B32" s="31" t="n">
        <v>-4864033.237067072</v>
      </c>
      <c r="C32" t="inlineStr">
        <is>
          <t>EUR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Scenarios - pessimistic / base / optimistic (values from model_core.py)</t>
        </is>
      </c>
    </row>
    <row r="2" ht="48" customHeight="1">
      <c r="A2" s="33" t="inlineStr">
        <is>
          <t>Each input takes the column shown in Inputs!F (pessimistic) and Inputs!G (optimistic). Cost-type inputs: pessimistic = high column; revenue-type inputs: pessimistic = low column; 'fixed' inputs (discount rate, tax, lifetimes, recipes) stay at base. ALL inputs move together, so these are stress bounds, not likely cases. To see a scenario live, set Inputs!C3 to 1, 2 or 3.</t>
        </is>
      </c>
    </row>
    <row r="4">
      <c r="A4" s="6" t="inlineStr">
        <is>
          <t>KPI</t>
        </is>
      </c>
      <c r="B4" s="6" t="inlineStr">
        <is>
          <t>Pessimistic</t>
        </is>
      </c>
      <c r="C4" s="6" t="inlineStr">
        <is>
          <t>Base</t>
        </is>
      </c>
      <c r="D4" s="6" t="inlineStr">
        <is>
          <t>Optimistic</t>
        </is>
      </c>
      <c r="E4" s="6" t="inlineStr">
        <is>
          <t>unit</t>
        </is>
      </c>
    </row>
    <row r="5">
      <c r="A5" t="inlineStr">
        <is>
          <t>NPV @ 8%</t>
        </is>
      </c>
      <c r="B5" s="31" t="n">
        <v>-38250548.18172318</v>
      </c>
      <c r="C5" s="31" t="n">
        <v>-4481665.395587757</v>
      </c>
      <c r="D5" s="31" t="n">
        <v>29963056.87765278</v>
      </c>
      <c r="E5" t="inlineStr">
        <is>
          <t>EUR</t>
        </is>
      </c>
    </row>
    <row r="6">
      <c r="A6" t="inlineStr">
        <is>
          <t>IRR</t>
        </is>
      </c>
      <c r="B6" s="34" t="inlineStr">
        <is>
          <t>n/a / not reached</t>
        </is>
      </c>
      <c r="C6" s="34" t="n">
        <v>-0.0706382633148967</v>
      </c>
      <c r="D6" s="34" t="n">
        <v>1.193754928167514</v>
      </c>
      <c r="E6" t="inlineStr">
        <is>
          <t>%</t>
        </is>
      </c>
    </row>
    <row r="7">
      <c r="A7" t="inlineStr">
        <is>
          <t>Payback</t>
        </is>
      </c>
      <c r="B7" s="35" t="inlineStr">
        <is>
          <t>n/a / not reached</t>
        </is>
      </c>
      <c r="C7" s="35" t="inlineStr">
        <is>
          <t>n/a / not reached</t>
        </is>
      </c>
      <c r="D7" s="35" t="n">
        <v>1.122701805228196</v>
      </c>
      <c r="E7" t="inlineStr">
        <is>
          <t>yr</t>
        </is>
      </c>
    </row>
    <row r="8">
      <c r="A8" t="inlineStr">
        <is>
          <t>Discounted payback</t>
        </is>
      </c>
      <c r="B8" s="35" t="inlineStr">
        <is>
          <t>n/a / not reached</t>
        </is>
      </c>
      <c r="C8" s="35" t="inlineStr">
        <is>
          <t>n/a / not reached</t>
        </is>
      </c>
      <c r="D8" s="35" t="n">
        <v>1.190108837463635</v>
      </c>
      <c r="E8" t="inlineStr">
        <is>
          <t>yr</t>
        </is>
      </c>
    </row>
    <row r="9">
      <c r="A9" t="inlineStr">
        <is>
          <t>EBITDA year 3 (2029)</t>
        </is>
      </c>
      <c r="B9" s="31" t="n">
        <v>-4109613.676078588</v>
      </c>
      <c r="C9" s="31" t="n">
        <v>530374.260142399</v>
      </c>
      <c r="D9" s="31" t="n">
        <v>6952848.37955857</v>
      </c>
      <c r="E9" t="inlineStr">
        <is>
          <t>EUR</t>
        </is>
      </c>
    </row>
    <row r="10">
      <c r="A10" t="inlineStr">
        <is>
          <t>Funding need</t>
        </is>
      </c>
      <c r="B10" s="31" t="n">
        <v>53454568.97175346</v>
      </c>
      <c r="C10" s="31" t="n">
        <v>6835872.764774223</v>
      </c>
      <c r="D10" s="31" t="n">
        <v>2842680</v>
      </c>
      <c r="E10" t="inlineStr">
        <is>
          <t>EUR</t>
        </is>
      </c>
    </row>
    <row r="11">
      <c r="A11" t="inlineStr">
        <is>
          <t>Initial capex</t>
        </is>
      </c>
      <c r="B11" s="31" t="n">
        <v>8000000</v>
      </c>
      <c r="C11" s="31" t="n">
        <v>5500000</v>
      </c>
      <c r="D11" s="31" t="n">
        <v>4000000</v>
      </c>
      <c r="E11" t="inlineStr">
        <is>
          <t>EUR</t>
        </is>
      </c>
    </row>
    <row r="12">
      <c r="A12" t="inlineStr">
        <is>
          <t>NPV / capex</t>
        </is>
      </c>
      <c r="B12" s="34" t="n">
        <v>-4.781318522715397</v>
      </c>
      <c r="C12" s="34" t="n">
        <v>-0.8148482537432286</v>
      </c>
      <c r="D12" s="34" t="n">
        <v>7.490764219413196</v>
      </c>
      <c r="E12" t="inlineStr">
        <is>
          <t>%</t>
        </is>
      </c>
    </row>
    <row r="13">
      <c r="A13" t="inlineStr">
        <is>
          <t>Break-even volume (EBITDA=0, yr-3 basis)</t>
        </is>
      </c>
      <c r="B13" s="31" t="inlineStr">
        <is>
          <t>n/a / not reached</t>
        </is>
      </c>
      <c r="C13" s="31" t="n">
        <v>50731.9939490894</v>
      </c>
      <c r="D13" s="31" t="n">
        <v>10070.44665801095</v>
      </c>
      <c r="E13" t="inlineStr">
        <is>
          <t>m3/yr</t>
        </is>
      </c>
    </row>
    <row r="15">
      <c r="A15" s="2" t="inlineStr">
        <is>
          <t>EBITDA by year</t>
        </is>
      </c>
      <c r="B15" s="2" t="n">
        <v>2026</v>
      </c>
      <c r="C15" s="2" t="n">
        <v>2027</v>
      </c>
      <c r="D15" s="2" t="n">
        <v>2028</v>
      </c>
      <c r="E15" s="2" t="n">
        <v>2029</v>
      </c>
      <c r="F15" s="2" t="n">
        <v>2030</v>
      </c>
      <c r="G15" s="2" t="n">
        <v>2031</v>
      </c>
      <c r="H15" s="2" t="n">
        <v>2032</v>
      </c>
      <c r="I15" s="2" t="n">
        <v>2033</v>
      </c>
      <c r="J15" s="2" t="n">
        <v>2034</v>
      </c>
      <c r="K15" s="2" t="n">
        <v>2035</v>
      </c>
      <c r="L15" s="2" t="n">
        <v>2036</v>
      </c>
    </row>
    <row r="16">
      <c r="A16" t="inlineStr">
        <is>
          <t>pessimistic</t>
        </is>
      </c>
      <c r="B16" s="31" t="n">
        <v>-660000</v>
      </c>
      <c r="C16" s="31" t="n">
        <v>-3029181.91677</v>
      </c>
      <c r="D16" s="31" t="n">
        <v>-3550774.12247</v>
      </c>
      <c r="E16" s="31" t="n">
        <v>-4109613.676078588</v>
      </c>
      <c r="F16" s="31" t="n">
        <v>-4200402.060912145</v>
      </c>
      <c r="G16" s="31" t="n">
        <v>-4514697.632909084</v>
      </c>
      <c r="H16" s="31" t="n">
        <v>-4595896.668767651</v>
      </c>
      <c r="I16" s="31" t="n">
        <v>-4680049.019959807</v>
      </c>
      <c r="J16" s="31" t="n">
        <v>-4773795.325363703</v>
      </c>
      <c r="K16" s="31" t="n">
        <v>-4809273.559697243</v>
      </c>
      <c r="L16" s="31" t="n">
        <v>-4844759.89621279</v>
      </c>
    </row>
    <row r="17">
      <c r="A17" t="inlineStr">
        <is>
          <t>base</t>
        </is>
      </c>
      <c r="B17" s="31" t="n">
        <v>-380000</v>
      </c>
      <c r="C17" s="31" t="n">
        <v>-418885.8420040002</v>
      </c>
      <c r="D17" s="31" t="n">
        <v>136864.4537743032</v>
      </c>
      <c r="E17" s="31" t="n">
        <v>530374.260142399</v>
      </c>
      <c r="F17" s="31" t="n">
        <v>506811.9049922004</v>
      </c>
      <c r="G17" s="31" t="n">
        <v>437358.6368866228</v>
      </c>
      <c r="H17" s="31" t="n">
        <v>420465.7212751377</v>
      </c>
      <c r="I17" s="31" t="n">
        <v>401457.0418818407</v>
      </c>
      <c r="J17" s="31" t="n">
        <v>380332.5013078693</v>
      </c>
      <c r="K17" s="31" t="n">
        <v>376377.8145409524</v>
      </c>
      <c r="L17" s="31" t="n">
        <v>372403.3543402012</v>
      </c>
    </row>
    <row r="18">
      <c r="A18" t="inlineStr">
        <is>
          <t>optimistic</t>
        </is>
      </c>
      <c r="B18" s="31" t="n">
        <v>-240000</v>
      </c>
      <c r="C18" s="31" t="n">
        <v>4117667.777826</v>
      </c>
      <c r="D18" s="31" t="n">
        <v>6103974.019843495</v>
      </c>
      <c r="E18" s="31" t="n">
        <v>6952848.37955857</v>
      </c>
      <c r="F18" s="31" t="n">
        <v>7026529.372359361</v>
      </c>
      <c r="G18" s="31" t="n">
        <v>7100584.178266457</v>
      </c>
      <c r="H18" s="31" t="n">
        <v>7175009.301574989</v>
      </c>
      <c r="I18" s="31" t="n">
        <v>7249805.259351964</v>
      </c>
      <c r="J18" s="31" t="n">
        <v>7324973.24518232</v>
      </c>
      <c r="K18" s="31" t="n">
        <v>7400524.470855226</v>
      </c>
      <c r="L18" s="31" t="n">
        <v>7476454.143270606</v>
      </c>
    </row>
    <row r="20">
      <c r="A20" s="2" t="inlineStr">
        <is>
          <t>Free cash flow by year</t>
        </is>
      </c>
      <c r="B20" s="2" t="n">
        <v>2026</v>
      </c>
      <c r="C20" s="2" t="n">
        <v>2027</v>
      </c>
      <c r="D20" s="2" t="n">
        <v>2028</v>
      </c>
      <c r="E20" s="2" t="n">
        <v>2029</v>
      </c>
      <c r="F20" s="2" t="n">
        <v>2030</v>
      </c>
      <c r="G20" s="2" t="n">
        <v>2031</v>
      </c>
      <c r="H20" s="2" t="n">
        <v>2032</v>
      </c>
      <c r="I20" s="2" t="n">
        <v>2033</v>
      </c>
      <c r="J20" s="2" t="n">
        <v>2034</v>
      </c>
      <c r="K20" s="2" t="n">
        <v>2035</v>
      </c>
      <c r="L20" s="2" t="n">
        <v>2036</v>
      </c>
    </row>
    <row r="21">
      <c r="A21" t="inlineStr">
        <is>
          <t>pessimistic</t>
        </is>
      </c>
      <c r="B21" s="31" t="n">
        <v>-8660000</v>
      </c>
      <c r="C21" s="31" t="n">
        <v>-3551703.906564521</v>
      </c>
      <c r="D21" s="31" t="n">
        <v>-3963564.519045342</v>
      </c>
      <c r="E21" s="31" t="n">
        <v>-4523269.867359495</v>
      </c>
      <c r="F21" s="31" t="n">
        <v>-4350469.170207796</v>
      </c>
      <c r="G21" s="31" t="n">
        <v>-4701092.243327777</v>
      </c>
      <c r="H21" s="31" t="n">
        <v>-4744455.292203428</v>
      </c>
      <c r="I21" s="31" t="n">
        <v>-4829111.238168132</v>
      </c>
      <c r="J21" s="31" t="n">
        <v>-4924439.320780301</v>
      </c>
      <c r="K21" s="31" t="n">
        <v>-4950476.546256963</v>
      </c>
      <c r="L21" s="31" t="n">
        <v>-4255986.867839712</v>
      </c>
    </row>
    <row r="22">
      <c r="A22" t="inlineStr">
        <is>
          <t>base</t>
        </is>
      </c>
      <c r="B22" s="31" t="n">
        <v>-5480000</v>
      </c>
      <c r="C22" s="31" t="n">
        <v>-1084616.086245096</v>
      </c>
      <c r="D22" s="31" t="n">
        <v>-271256.6785291268</v>
      </c>
      <c r="E22" s="31" t="n">
        <v>218415.596875418</v>
      </c>
      <c r="F22" s="31" t="n">
        <v>450217.4239445294</v>
      </c>
      <c r="G22" s="31" t="n">
        <v>365412.7982060749</v>
      </c>
      <c r="H22" s="31" t="n">
        <v>366116.1699458223</v>
      </c>
      <c r="I22" s="31" t="n">
        <v>346405.9500155395</v>
      </c>
      <c r="J22" s="31" t="n">
        <v>324579.8689045813</v>
      </c>
      <c r="K22" s="31" t="n">
        <v>309146.4530024839</v>
      </c>
      <c r="L22" s="31" t="n">
        <v>1552946.717015563</v>
      </c>
    </row>
    <row r="23">
      <c r="A23" t="inlineStr">
        <is>
          <t>optimistic</t>
        </is>
      </c>
      <c r="B23" s="31" t="n">
        <v>-2842680</v>
      </c>
      <c r="C23" s="31" t="n">
        <v>2319394.265914015</v>
      </c>
      <c r="D23" s="31" t="n">
        <v>4264694.664538943</v>
      </c>
      <c r="E23" s="31" t="n">
        <v>5072524.626676637</v>
      </c>
      <c r="F23" s="31" t="n">
        <v>5247830.631828367</v>
      </c>
      <c r="G23" s="31" t="n">
        <v>5303131.369948437</v>
      </c>
      <c r="H23" s="31" t="n">
        <v>5358494.77849448</v>
      </c>
      <c r="I23" s="31" t="n">
        <v>5414080.147936296</v>
      </c>
      <c r="J23" s="31" t="n">
        <v>5469914.847426618</v>
      </c>
      <c r="K23" s="31" t="n">
        <v>5526404.464825477</v>
      </c>
      <c r="L23" s="31" t="n">
        <v>7022909.810715489</v>
      </c>
    </row>
    <row r="25">
      <c r="A25" s="2" t="inlineStr">
        <is>
          <t>Volume by year</t>
        </is>
      </c>
      <c r="B25" s="2" t="n">
        <v>2026</v>
      </c>
      <c r="C25" s="2" t="n">
        <v>2027</v>
      </c>
      <c r="D25" s="2" t="n">
        <v>2028</v>
      </c>
      <c r="E25" s="2" t="n">
        <v>2029</v>
      </c>
      <c r="F25" s="2" t="n">
        <v>2030</v>
      </c>
      <c r="G25" s="2" t="n">
        <v>2031</v>
      </c>
      <c r="H25" s="2" t="n">
        <v>2032</v>
      </c>
      <c r="I25" s="2" t="n">
        <v>2033</v>
      </c>
      <c r="J25" s="2" t="n">
        <v>2034</v>
      </c>
      <c r="K25" s="2" t="n">
        <v>2035</v>
      </c>
      <c r="L25" s="2" t="n">
        <v>2036</v>
      </c>
    </row>
    <row r="26">
      <c r="A26" t="inlineStr">
        <is>
          <t>pessimistic</t>
        </is>
      </c>
      <c r="B26" s="31" t="n">
        <v>0</v>
      </c>
      <c r="C26" s="31" t="n">
        <v>17500</v>
      </c>
      <c r="D26" s="31" t="n">
        <v>30000</v>
      </c>
      <c r="E26" s="31" t="n">
        <v>42500</v>
      </c>
      <c r="F26" s="31" t="n">
        <v>42500</v>
      </c>
      <c r="G26" s="31" t="n">
        <v>42500</v>
      </c>
      <c r="H26" s="31" t="n">
        <v>42500</v>
      </c>
      <c r="I26" s="31" t="n">
        <v>42500</v>
      </c>
      <c r="J26" s="31" t="n">
        <v>42500</v>
      </c>
      <c r="K26" s="31" t="n">
        <v>42500</v>
      </c>
      <c r="L26" s="31" t="n">
        <v>42500</v>
      </c>
    </row>
    <row r="27">
      <c r="A27" t="inlineStr">
        <is>
          <t>base</t>
        </is>
      </c>
      <c r="B27" s="31" t="n">
        <v>0</v>
      </c>
      <c r="C27" s="31" t="n">
        <v>35000</v>
      </c>
      <c r="D27" s="31" t="n">
        <v>55300</v>
      </c>
      <c r="E27" s="31" t="n">
        <v>70000</v>
      </c>
      <c r="F27" s="31" t="n">
        <v>70000</v>
      </c>
      <c r="G27" s="31" t="n">
        <v>70000</v>
      </c>
      <c r="H27" s="31" t="n">
        <v>70000</v>
      </c>
      <c r="I27" s="31" t="n">
        <v>70000</v>
      </c>
      <c r="J27" s="31" t="n">
        <v>70000</v>
      </c>
      <c r="K27" s="31" t="n">
        <v>70000</v>
      </c>
      <c r="L27" s="31" t="n">
        <v>70000</v>
      </c>
    </row>
    <row r="28">
      <c r="A28" t="inlineStr">
        <is>
          <t>optimistic</t>
        </is>
      </c>
      <c r="B28" s="31" t="n">
        <v>0</v>
      </c>
      <c r="C28" s="31" t="n">
        <v>58500</v>
      </c>
      <c r="D28" s="31" t="n">
        <v>81000</v>
      </c>
      <c r="E28" s="31" t="n">
        <v>90000</v>
      </c>
      <c r="F28" s="31" t="n">
        <v>90000</v>
      </c>
      <c r="G28" s="31" t="n">
        <v>90000</v>
      </c>
      <c r="H28" s="31" t="n">
        <v>90000</v>
      </c>
      <c r="I28" s="31" t="n">
        <v>90000</v>
      </c>
      <c r="J28" s="31" t="n">
        <v>90000</v>
      </c>
      <c r="K28" s="31" t="n">
        <v>90000</v>
      </c>
      <c r="L28" s="31" t="n">
        <v>90000</v>
      </c>
    </row>
    <row r="30">
      <c r="A30" s="2" t="inlineStr">
        <is>
          <t>Plausible range (memo): base NPV +/- root-sum-square of the one-at-a-time NPV deviations of independent drivers</t>
        </is>
      </c>
    </row>
    <row r="31">
      <c r="A31" t="inlineStr">
        <is>
          <t>NPV low (RSS)</t>
        </is>
      </c>
      <c r="B31" s="36" t="n">
        <v>-15957355.2002789</v>
      </c>
    </row>
    <row r="32">
      <c r="A32" t="inlineStr">
        <is>
          <t>NPV high (RSS)</t>
        </is>
      </c>
      <c r="B32" s="36" t="n">
        <v>3479658.705173223</v>
      </c>
    </row>
    <row r="33">
      <c r="A33" s="5" t="inlineStr">
        <is>
          <t>Drivers in RSS: Average selling price (EUR 115-155/m3), Capex (plant, civil, permits), Cement price 2026 (EUR 95-130/t), Circular share of volume (40-80%), Concrete delivery distance (10-35 km), Delivery cost rates (fixed + per km), ETS/CBAM carbon cost path only, Grant DEI+/VEKI (EUR 0-1.5M), Gravel price (EUR 25-40/t), Green premium (public &amp; private), Maintenance (1.5-4% of capex), Plant utilisation (50k-90k m3/yr), Production staff (FTE x cost), RCA haul distance (15-50 km), Ramp-up speed (yr1-3), Recycled aggregate price, ex-works (EUR 10-25/t), SG&amp;A (staff + non-staff), Salvage value (10-40% of capex), Sand price (EUR 14-25/t), Site lease (area x rate), Working capital days</t>
        </is>
      </c>
    </row>
  </sheetData>
  <mergeCells count="1">
    <mergeCell ref="A2:N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6" customWidth="1" min="1" max="1"/>
    <col width="56" customWidth="1" min="2" max="2"/>
    <col width="16" customWidth="1" min="3" max="3"/>
    <col width="16" customWidth="1" min="4" max="4"/>
    <col width="14" customWidth="1" min="5" max="5"/>
    <col width="12" customWidth="1" min="6" max="6"/>
    <col width="16" customWidth="1" min="7" max="7"/>
    <col width="12" customWidth="1" min="8" max="8"/>
    <col width="70" customWidth="1" min="9" max="9"/>
  </cols>
  <sheetData>
    <row r="1">
      <c r="A1" s="1" t="inlineStr">
        <is>
          <t>Sensitivity - one input group at a time to its low / high column, effect on NPV @ 8% (values from model_core.py)</t>
        </is>
      </c>
    </row>
    <row r="2">
      <c r="A2" t="inlineStr">
        <is>
          <t>Base NPV = -4,481,665 EUR. Sorted by swing (tornado order).</t>
        </is>
      </c>
    </row>
    <row r="4">
      <c r="A4" s="6" t="inlineStr">
        <is>
          <t>Rank</t>
        </is>
      </c>
      <c r="B4" s="6" t="inlineStr">
        <is>
          <t>Driver</t>
        </is>
      </c>
      <c r="C4" s="6" t="inlineStr">
        <is>
          <t>NPV at LOW input</t>
        </is>
      </c>
      <c r="D4" s="6" t="inlineStr">
        <is>
          <t>NPV at HIGH input</t>
        </is>
      </c>
      <c r="E4" s="6" t="inlineStr">
        <is>
          <t>Swing</t>
        </is>
      </c>
      <c r="F4" s="6" t="inlineStr">
        <is>
          <t>Pessimistic column</t>
        </is>
      </c>
      <c r="G4" s="6" t="inlineStr">
        <is>
          <t>NPV at pessimistic</t>
        </is>
      </c>
      <c r="H4" s="6" t="inlineStr">
        <is>
          <t>Main driver (crit. 4)</t>
        </is>
      </c>
      <c r="I4" s="6" t="inlineStr">
        <is>
          <t>Parameters moved</t>
        </is>
      </c>
    </row>
    <row r="5">
      <c r="A5" s="5" t="n">
        <v>1</v>
      </c>
      <c r="B5" s="5" t="inlineStr">
        <is>
          <t>Average selling price (EUR 115-155/m3)</t>
        </is>
      </c>
      <c r="C5" s="31" t="n">
        <v>-12772738.53462429</v>
      </c>
      <c r="D5" s="31" t="n">
        <v>1766053.740446633</v>
      </c>
      <c r="E5" s="31" t="n">
        <v>14538792.27507092</v>
      </c>
      <c r="F5" s="5" t="inlineStr">
        <is>
          <t>low</t>
        </is>
      </c>
      <c r="G5" s="31" t="n">
        <v>-12772738.53462429</v>
      </c>
      <c r="H5" s="5" t="inlineStr"/>
      <c r="I5" s="5" t="inlineStr">
        <is>
          <t>price_plant_avg_all_classes</t>
        </is>
      </c>
    </row>
    <row r="6">
      <c r="A6" s="5" t="n">
        <v>2</v>
      </c>
      <c r="B6" s="5" t="inlineStr">
        <is>
          <t>Transport distance (delivery 10-35 km + RCA haul 15-50 km)</t>
        </is>
      </c>
      <c r="C6" s="31" t="n">
        <v>-2410207.118037559</v>
      </c>
      <c r="D6" s="31" t="n">
        <v>-8357077.504590822</v>
      </c>
      <c r="E6" s="31" t="n">
        <v>5946870.386553263</v>
      </c>
      <c r="F6" s="5" t="inlineStr">
        <is>
          <t>high</t>
        </is>
      </c>
      <c r="G6" s="31" t="n">
        <v>-8357077.504590822</v>
      </c>
      <c r="H6" s="5" t="inlineStr">
        <is>
          <t>yes</t>
        </is>
      </c>
      <c r="I6" s="5" t="inlineStr">
        <is>
          <t>delivery_avg_distance_oneway, rca_transport_distance</t>
        </is>
      </c>
    </row>
    <row r="7">
      <c r="A7" s="5" t="n">
        <v>3</v>
      </c>
      <c r="B7" s="5" t="inlineStr">
        <is>
          <t>Plant utilisation (50k-90k m3/yr)</t>
        </is>
      </c>
      <c r="C7" s="31" t="n">
        <v>-7375999.251992014</v>
      </c>
      <c r="D7" s="31" t="n">
        <v>-2293855.580629354</v>
      </c>
      <c r="E7" s="31" t="n">
        <v>5082143.67136266</v>
      </c>
      <c r="F7" s="5" t="inlineStr">
        <is>
          <t>low</t>
        </is>
      </c>
      <c r="G7" s="31" t="n">
        <v>-7375999.251992014</v>
      </c>
      <c r="H7" s="5" t="inlineStr">
        <is>
          <t>yes</t>
        </is>
      </c>
      <c r="I7" s="5" t="inlineStr">
        <is>
          <t>output_steady_state</t>
        </is>
      </c>
    </row>
    <row r="8">
      <c r="A8" s="5" t="n">
        <v>4</v>
      </c>
      <c r="B8" s="5" t="inlineStr">
        <is>
          <t>Gravel price (EUR 25-40/t)</t>
        </is>
      </c>
      <c r="C8" s="31" t="n">
        <v>-2485489.447468067</v>
      </c>
      <c r="D8" s="31" t="n">
        <v>-7391073.415634079</v>
      </c>
      <c r="E8" s="31" t="n">
        <v>4905583.968166012</v>
      </c>
      <c r="F8" s="5" t="inlineStr">
        <is>
          <t>high</t>
        </is>
      </c>
      <c r="G8" s="31" t="n">
        <v>-7391073.415634079</v>
      </c>
      <c r="H8" s="5" t="inlineStr"/>
      <c r="I8" s="5" t="inlineStr">
        <is>
          <t>price_gravel_delivered</t>
        </is>
      </c>
    </row>
    <row r="9">
      <c r="A9" s="5" t="n">
        <v>5</v>
      </c>
      <c r="B9" s="5" t="inlineStr">
        <is>
          <t>Concrete delivery distance (10-35 km)</t>
        </is>
      </c>
      <c r="C9" s="31" t="n">
        <v>-2814524.276038985</v>
      </c>
      <c r="D9" s="31" t="n">
        <v>-7649248.811017501</v>
      </c>
      <c r="E9" s="31" t="n">
        <v>4834724.534978516</v>
      </c>
      <c r="F9" s="5" t="inlineStr">
        <is>
          <t>high</t>
        </is>
      </c>
      <c r="G9" s="31" t="n">
        <v>-7649248.811017501</v>
      </c>
      <c r="H9" s="5" t="inlineStr"/>
      <c r="I9" s="5" t="inlineStr">
        <is>
          <t>delivery_avg_distance_oneway</t>
        </is>
      </c>
    </row>
    <row r="10">
      <c r="A10" s="5" t="n">
        <v>6</v>
      </c>
      <c r="B10" s="5" t="inlineStr">
        <is>
          <t>Cement price + ETS/CBAM path</t>
        </is>
      </c>
      <c r="C10" s="31" t="n">
        <v>-2738425.504681048</v>
      </c>
      <c r="D10" s="31" t="n">
        <v>-7461840.761356306</v>
      </c>
      <c r="E10" s="31" t="n">
        <v>4723415.256675258</v>
      </c>
      <c r="F10" s="5" t="inlineStr">
        <is>
          <t>high</t>
        </is>
      </c>
      <c r="G10" s="31" t="n">
        <v>-7461840.761356306</v>
      </c>
      <c r="H10" s="5" t="inlineStr">
        <is>
          <t>yes</t>
        </is>
      </c>
      <c r="I10" s="5" t="inlineStr">
        <is>
          <t>price_cem3b_2026_delivered, carbon_cost_cem3b_2026, carbon_cost_cem3b_2027 ...</t>
        </is>
      </c>
    </row>
    <row r="11">
      <c r="A11" s="5" t="n">
        <v>7</v>
      </c>
      <c r="B11" s="5" t="inlineStr">
        <is>
          <t>Cement price 2026 (EUR 95-130/t)</t>
        </is>
      </c>
      <c r="C11" s="31" t="n">
        <v>-2879030.569663332</v>
      </c>
      <c r="D11" s="31" t="n">
        <v>-7187864.187424129</v>
      </c>
      <c r="E11" s="31" t="n">
        <v>4308833.617760797</v>
      </c>
      <c r="F11" s="5" t="inlineStr">
        <is>
          <t>high</t>
        </is>
      </c>
      <c r="G11" s="31" t="n">
        <v>-7187864.187424129</v>
      </c>
      <c r="H11" s="5" t="inlineStr"/>
      <c r="I11" s="5" t="inlineStr">
        <is>
          <t>price_cem3b_2026_delivered</t>
        </is>
      </c>
    </row>
    <row r="12">
      <c r="A12" s="5" t="n">
        <v>8</v>
      </c>
      <c r="B12" s="5" t="inlineStr">
        <is>
          <t>Capex (plant, civil, permits)</t>
        </is>
      </c>
      <c r="C12" s="31" t="n">
        <v>-2947011.449086735</v>
      </c>
      <c r="D12" s="31" t="n">
        <v>-7237858.534033164</v>
      </c>
      <c r="E12" s="31" t="n">
        <v>4290847.084946429</v>
      </c>
      <c r="F12" s="5" t="inlineStr">
        <is>
          <t>high</t>
        </is>
      </c>
      <c r="G12" s="31" t="n">
        <v>-7237858.534033164</v>
      </c>
      <c r="H12" s="5" t="inlineStr">
        <is>
          <t>yes</t>
        </is>
      </c>
      <c r="I12" s="5" t="inlineStr">
        <is>
          <t>capex_plant_equipment, capex_site_prep_civil, capex_permits_engineering</t>
        </is>
      </c>
    </row>
    <row r="13">
      <c r="A13" s="5" t="n">
        <v>9</v>
      </c>
      <c r="B13" s="5" t="inlineStr">
        <is>
          <t>SG&amp;A (staff + non-staff)</t>
        </is>
      </c>
      <c r="C13" s="31" t="n">
        <v>-3333465.702467831</v>
      </c>
      <c r="D13" s="31" t="n">
        <v>-6639429.927001981</v>
      </c>
      <c r="E13" s="31" t="n">
        <v>3305964.22453415</v>
      </c>
      <c r="F13" s="5" t="inlineStr">
        <is>
          <t>high</t>
        </is>
      </c>
      <c r="G13" s="31" t="n">
        <v>-6639429.927001981</v>
      </c>
      <c r="H13" s="5" t="inlineStr"/>
      <c r="I13" s="5" t="inlineStr">
        <is>
          <t>staff_sga_fte, cost_per_fte_sga, sga_fixed_non_staff</t>
        </is>
      </c>
    </row>
    <row r="14">
      <c r="A14" s="5" t="n">
        <v>10</v>
      </c>
      <c r="B14" s="5" t="inlineStr">
        <is>
          <t>Delivery cost rates (fixed + per km)</t>
        </is>
      </c>
      <c r="C14" s="31" t="n">
        <v>-3134179.063789813</v>
      </c>
      <c r="D14" s="31" t="n">
        <v>-6162814.876507301</v>
      </c>
      <c r="E14" s="31" t="n">
        <v>3028635.812717488</v>
      </c>
      <c r="F14" s="5" t="inlineStr">
        <is>
          <t>high</t>
        </is>
      </c>
      <c r="G14" s="31" t="n">
        <v>-6162814.876507301</v>
      </c>
      <c r="H14" s="5" t="inlineStr"/>
      <c r="I14" s="5" t="inlineStr">
        <is>
          <t>delivery_fixed_per_m3, delivery_variable_per_km_oneway</t>
        </is>
      </c>
    </row>
    <row r="15">
      <c r="A15" s="5" t="n">
        <v>11</v>
      </c>
      <c r="B15" s="5" t="inlineStr">
        <is>
          <t>Sand price (EUR 14-25/t)</t>
        </is>
      </c>
      <c r="C15" s="31" t="n">
        <v>-3414588.362785823</v>
      </c>
      <c r="D15" s="31" t="n">
        <v>-6065748.452238698</v>
      </c>
      <c r="E15" s="31" t="n">
        <v>2651160.089452876</v>
      </c>
      <c r="F15" s="5" t="inlineStr">
        <is>
          <t>high</t>
        </is>
      </c>
      <c r="G15" s="31" t="n">
        <v>-6065748.452238698</v>
      </c>
      <c r="H15" s="5" t="inlineStr"/>
      <c r="I15" s="5" t="inlineStr">
        <is>
          <t>price_sand_delivered</t>
        </is>
      </c>
    </row>
    <row r="16">
      <c r="A16" s="5" t="n">
        <v>12</v>
      </c>
      <c r="B16" s="5" t="inlineStr">
        <is>
          <t>Ramp-up speed (yr1-3)</t>
        </is>
      </c>
      <c r="C16" s="31" t="n">
        <v>-6234273.210285117</v>
      </c>
      <c r="D16" s="31" t="n">
        <v>-4108398.766135448</v>
      </c>
      <c r="E16" s="31" t="n">
        <v>2125874.444149669</v>
      </c>
      <c r="F16" s="5" t="inlineStr">
        <is>
          <t>low</t>
        </is>
      </c>
      <c r="G16" s="31" t="n">
        <v>-6234273.210285117</v>
      </c>
      <c r="H16" s="5" t="inlineStr"/>
      <c r="I16" s="5" t="inlineStr">
        <is>
          <t>ramp_year1_pct_of_steady, ramp_year2_pct_of_steady, ramp_year3plus_pct_of_steady</t>
        </is>
      </c>
    </row>
    <row r="17">
      <c r="A17" s="5" t="n">
        <v>13</v>
      </c>
      <c r="B17" s="5" t="inlineStr">
        <is>
          <t>Production staff (FTE x cost)</t>
        </is>
      </c>
      <c r="C17" s="31" t="n">
        <v>-3812491.911033776</v>
      </c>
      <c r="D17" s="31" t="n">
        <v>-5921700.9416545</v>
      </c>
      <c r="E17" s="31" t="n">
        <v>2109209.030620723</v>
      </c>
      <c r="F17" s="5" t="inlineStr">
        <is>
          <t>high</t>
        </is>
      </c>
      <c r="G17" s="31" t="n">
        <v>-5921700.9416545</v>
      </c>
      <c r="H17" s="5" t="inlineStr"/>
      <c r="I17" s="5" t="inlineStr">
        <is>
          <t>staff_production_fte, cost_per_fte_production</t>
        </is>
      </c>
    </row>
    <row r="18">
      <c r="A18" s="5" t="n">
        <v>14</v>
      </c>
      <c r="B18" s="5" t="inlineStr">
        <is>
          <t>Site lease (area x rate)</t>
        </is>
      </c>
      <c r="C18" s="31" t="n">
        <v>-3978032.700060217</v>
      </c>
      <c r="D18" s="31" t="n">
        <v>-5973801.551828896</v>
      </c>
      <c r="E18" s="31" t="n">
        <v>1995768.851768679</v>
      </c>
      <c r="F18" s="5" t="inlineStr">
        <is>
          <t>high</t>
        </is>
      </c>
      <c r="G18" s="31" t="n">
        <v>-5973801.551828896</v>
      </c>
      <c r="H18" s="5" t="inlineStr"/>
      <c r="I18" s="5" t="inlineStr">
        <is>
          <t>site_area, site_lease_rate</t>
        </is>
      </c>
    </row>
    <row r="19">
      <c r="A19" s="5" t="n">
        <v>15</v>
      </c>
      <c r="B19" s="5" t="inlineStr">
        <is>
          <t>Recycled aggregate price, ex-works (EUR 10-25/t)</t>
        </is>
      </c>
      <c r="C19" s="31" t="n">
        <v>-3900214.692122406</v>
      </c>
      <c r="D19" s="31" t="n">
        <v>-5879690.624213712</v>
      </c>
      <c r="E19" s="31" t="n">
        <v>1979475.932091306</v>
      </c>
      <c r="F19" s="5" t="inlineStr">
        <is>
          <t>high</t>
        </is>
      </c>
      <c r="G19" s="31" t="n">
        <v>-5879690.624213712</v>
      </c>
      <c r="H19" s="5" t="inlineStr">
        <is>
          <t>yes</t>
        </is>
      </c>
      <c r="I19" s="5" t="inlineStr">
        <is>
          <t>price_rca_coarse_exworks</t>
        </is>
      </c>
    </row>
    <row r="20">
      <c r="A20" s="5" t="n">
        <v>16</v>
      </c>
      <c r="B20" s="5" t="inlineStr">
        <is>
          <t>Green premium (public &amp; private)</t>
        </is>
      </c>
      <c r="C20" s="31" t="n">
        <v>-5289067.976439959</v>
      </c>
      <c r="D20" s="31" t="n">
        <v>-3442743.641356913</v>
      </c>
      <c r="E20" s="31" t="n">
        <v>1846324.335083046</v>
      </c>
      <c r="F20" s="5" t="inlineStr">
        <is>
          <t>low</t>
        </is>
      </c>
      <c r="G20" s="31" t="n">
        <v>-5289067.976439959</v>
      </c>
      <c r="H20" s="5" t="inlineStr">
        <is>
          <t>yes</t>
        </is>
      </c>
      <c r="I20" s="5" t="inlineStr">
        <is>
          <t>green_premium_public, green_premium_private</t>
        </is>
      </c>
    </row>
    <row r="21">
      <c r="A21" s="5" t="n">
        <v>17</v>
      </c>
      <c r="B21" s="5" t="inlineStr">
        <is>
          <t>Grant DEI+/VEKI (EUR 0-1.5M)</t>
        </is>
      </c>
      <c r="C21" s="31" t="n">
        <v>-4864033.237067072</v>
      </c>
      <c r="D21" s="31" t="n">
        <v>-3601181.410981002</v>
      </c>
      <c r="E21" s="31" t="n">
        <v>1262851.826086069</v>
      </c>
      <c r="F21" s="5" t="inlineStr">
        <is>
          <t>low</t>
        </is>
      </c>
      <c r="G21" s="31" t="n">
        <v>-4864033.237067072</v>
      </c>
      <c r="H21" s="5" t="inlineStr"/>
      <c r="I21" s="5" t="inlineStr">
        <is>
          <t>grant_dei_veki_first_plant</t>
        </is>
      </c>
    </row>
    <row r="22">
      <c r="A22" s="5" t="n">
        <v>18</v>
      </c>
      <c r="B22" s="5" t="inlineStr">
        <is>
          <t>RCA haul distance (15-50 km)</t>
        </is>
      </c>
      <c r="C22" s="31" t="n">
        <v>-4039138.037266182</v>
      </c>
      <c r="D22" s="31" t="n">
        <v>-5171861.930640391</v>
      </c>
      <c r="E22" s="31" t="n">
        <v>1132723.893374209</v>
      </c>
      <c r="F22" s="5" t="inlineStr">
        <is>
          <t>high</t>
        </is>
      </c>
      <c r="G22" s="31" t="n">
        <v>-5171861.930640391</v>
      </c>
      <c r="H22" s="5" t="inlineStr"/>
      <c r="I22" s="5" t="inlineStr">
        <is>
          <t>rca_transport_distance</t>
        </is>
      </c>
    </row>
    <row r="23">
      <c r="A23" s="5" t="n">
        <v>19</v>
      </c>
      <c r="B23" s="5" t="inlineStr">
        <is>
          <t>Maintenance (1.5-4% of capex)</t>
        </is>
      </c>
      <c r="C23" s="31" t="n">
        <v>-4198300.778943044</v>
      </c>
      <c r="D23" s="31" t="n">
        <v>-4967289.34198768</v>
      </c>
      <c r="E23" s="31" t="n">
        <v>768988.5630446356</v>
      </c>
      <c r="F23" s="5" t="inlineStr">
        <is>
          <t>high</t>
        </is>
      </c>
      <c r="G23" s="31" t="n">
        <v>-4967289.34198768</v>
      </c>
      <c r="H23" s="5" t="inlineStr"/>
      <c r="I23" s="5" t="inlineStr">
        <is>
          <t>maintenance_pct_of_capex</t>
        </is>
      </c>
    </row>
    <row r="24">
      <c r="A24" s="5" t="n">
        <v>20</v>
      </c>
      <c r="B24" s="5" t="inlineStr">
        <is>
          <t>Salvage value (10-40% of capex)</t>
        </is>
      </c>
      <c r="C24" s="31" t="n">
        <v>-4829060.51165127</v>
      </c>
      <c r="D24" s="31" t="n">
        <v>-4134270.279524244</v>
      </c>
      <c r="E24" s="31" t="n">
        <v>694790.2321270262</v>
      </c>
      <c r="F24" s="5" t="inlineStr">
        <is>
          <t>low</t>
        </is>
      </c>
      <c r="G24" s="31" t="n">
        <v>-4829060.51165127</v>
      </c>
      <c r="H24" s="5" t="inlineStr"/>
      <c r="I24" s="5" t="inlineStr">
        <is>
          <t>salvage_value_yr10_pct_of_plant_civil_capex</t>
        </is>
      </c>
    </row>
    <row r="25">
      <c r="A25" s="5" t="n">
        <v>21</v>
      </c>
      <c r="B25" s="5" t="inlineStr">
        <is>
          <t>Circular share of volume (40-80%)</t>
        </is>
      </c>
      <c r="C25" s="31" t="n">
        <v>-4797744.329064326</v>
      </c>
      <c r="D25" s="31" t="n">
        <v>-4201698.756124456</v>
      </c>
      <c r="E25" s="31" t="n">
        <v>596045.5729398699</v>
      </c>
      <c r="F25" s="5" t="inlineStr">
        <is>
          <t>low</t>
        </is>
      </c>
      <c r="G25" s="31" t="n">
        <v>-4797744.329064326</v>
      </c>
      <c r="H25" s="5" t="inlineStr"/>
      <c r="I25" s="5" t="inlineStr">
        <is>
          <t>circular_share_of_volume</t>
        </is>
      </c>
    </row>
    <row r="26">
      <c r="A26" s="5" t="n">
        <v>22</v>
      </c>
      <c r="B26" s="5" t="inlineStr">
        <is>
          <t>Discount rate (6-10%)</t>
        </is>
      </c>
      <c r="C26" s="31" t="n">
        <v>-4189318.92005319</v>
      </c>
      <c r="D26" s="31" t="n">
        <v>-4726018.246720144</v>
      </c>
      <c r="E26" s="31" t="n">
        <v>536699.3266669535</v>
      </c>
      <c r="F26" s="5" t="inlineStr">
        <is>
          <t>high</t>
        </is>
      </c>
      <c r="G26" s="31" t="n">
        <v>-4726018.246720144</v>
      </c>
      <c r="H26" s="5" t="inlineStr"/>
      <c r="I26" s="5" t="inlineStr">
        <is>
          <t>discount_rate_real</t>
        </is>
      </c>
    </row>
    <row r="27">
      <c r="A27" s="5" t="n">
        <v>23</v>
      </c>
      <c r="B27" s="5" t="inlineStr">
        <is>
          <t>Working capital days</t>
        </is>
      </c>
      <c r="C27" s="31" t="n">
        <v>-4219118.165900725</v>
      </c>
      <c r="D27" s="31" t="n">
        <v>-4680719.269189463</v>
      </c>
      <c r="E27" s="31" t="n">
        <v>461601.1032887381</v>
      </c>
      <c r="F27" s="5" t="inlineStr">
        <is>
          <t>high</t>
        </is>
      </c>
      <c r="G27" s="31" t="n">
        <v>-4680719.269189463</v>
      </c>
      <c r="H27" s="5" t="inlineStr"/>
      <c r="I27" s="5" t="inlineStr">
        <is>
          <t>working_capital_receivable_days, working_capital_payable_days, working_capital_inventory_days</t>
        </is>
      </c>
    </row>
    <row r="28">
      <c r="A28" s="5" t="n">
        <v>24</v>
      </c>
      <c r="B28" s="5" t="inlineStr">
        <is>
          <t>ETS/CBAM carbon cost path only</t>
        </is>
      </c>
      <c r="C28" s="31" t="n">
        <v>-4326176.641330588</v>
      </c>
      <c r="D28" s="31" t="n">
        <v>-4738009.810999248</v>
      </c>
      <c r="E28" s="31" t="n">
        <v>411833.1696686605</v>
      </c>
      <c r="F28" s="5" t="inlineStr">
        <is>
          <t>high</t>
        </is>
      </c>
      <c r="G28" s="31" t="n">
        <v>-4738009.810999248</v>
      </c>
      <c r="H28" s="5" t="inlineStr"/>
      <c r="I28" s="5" t="inlineStr">
        <is>
          <t>carbon_cost_cem3b_2026, carbon_cost_cem3b_2027, carbon_cost_cem3b_2028 ...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80" customWidth="1" min="2" max="2"/>
    <col width="18" customWidth="1" min="3" max="3"/>
    <col width="18" customWidth="1" min="4" max="4"/>
    <col width="12" customWidth="1" min="5" max="5"/>
  </cols>
  <sheetData>
    <row r="1">
      <c r="A1" s="1" t="inlineStr">
        <is>
          <t>Viability gate - plan.md section 2.1 (criteria fixed before results)</t>
        </is>
      </c>
    </row>
    <row r="2">
      <c r="A2">
        <f>"Criteria 1-3 are LIVE for the active scenario: "&amp;Inputs!D3&amp;". Criterion 4 is the base-case robustness test from model_core.py."</f>
        <v/>
      </c>
    </row>
    <row r="4">
      <c r="A4" s="6" t="inlineStr">
        <is>
          <t>#</t>
        </is>
      </c>
      <c r="B4" s="6" t="inlineStr">
        <is>
          <t>Criterion</t>
        </is>
      </c>
      <c r="C4" s="6" t="inlineStr">
        <is>
          <t>Value</t>
        </is>
      </c>
      <c r="D4" s="6" t="inlineStr">
        <is>
          <t>Threshold</t>
        </is>
      </c>
      <c r="E4" s="6" t="inlineStr">
        <is>
          <t>Result</t>
        </is>
      </c>
    </row>
    <row r="5">
      <c r="A5" t="n">
        <v>1</v>
      </c>
      <c r="B5" t="inlineStr">
        <is>
          <t>NPV &gt; 0 at 8% real (10 yr, salvage-only terminal value)</t>
        </is>
      </c>
      <c r="C5" s="36">
        <f>Valuation!$B$5</f>
        <v/>
      </c>
      <c r="D5" t="inlineStr">
        <is>
          <t>&gt; 0</t>
        </is>
      </c>
      <c r="E5">
        <f>IF(C5&gt;0,"PASS","FAIL")</f>
        <v/>
      </c>
    </row>
    <row r="6">
      <c r="A6" t="n">
        <v>2</v>
      </c>
      <c r="B6" t="inlineStr">
        <is>
          <t>Payback period &lt; 7 years</t>
        </is>
      </c>
      <c r="C6" s="37">
        <f>Valuation!$B$9</f>
        <v/>
      </c>
      <c r="D6" t="inlineStr">
        <is>
          <t>&lt; 7</t>
        </is>
      </c>
      <c r="E6">
        <f>IF(ISNUMBER(C6),IF(C6&lt;7,"PASS","FAIL"),"FAIL")</f>
        <v/>
      </c>
    </row>
    <row r="7">
      <c r="A7" t="n">
        <v>3</v>
      </c>
      <c r="B7" t="inlineStr">
        <is>
          <t>EBITDA positive by year 3 (2029)</t>
        </is>
      </c>
      <c r="C7" s="36">
        <f>Valuation!$B$11</f>
        <v/>
      </c>
      <c r="D7" t="inlineStr">
        <is>
          <t>&gt; 0</t>
        </is>
      </c>
      <c r="E7">
        <f>IF(C7&gt;0,"PASS","FAIL")</f>
        <v/>
      </c>
    </row>
    <row r="8">
      <c r="A8" t="n">
        <v>4</v>
      </c>
      <c r="B8" t="inlineStr">
        <is>
          <t>NPV &gt; 0 with each of 6 main drivers at its pessimistic value (one at a time): at least 2 of 6</t>
        </is>
      </c>
      <c r="C8" s="31" t="n">
        <v>0</v>
      </c>
      <c r="D8" t="inlineStr">
        <is>
          <t>&gt;= 2 of 6</t>
        </is>
      </c>
      <c r="E8">
        <f>IF(C8&gt;=2,"PASS","FAIL")</f>
        <v/>
      </c>
    </row>
    <row r="10">
      <c r="A10" t="inlineStr"/>
      <c r="B10" t="inlineStr">
        <is>
          <t>Borderline test: NPV between -10% and 0% of initial capex</t>
        </is>
      </c>
      <c r="C10" s="12">
        <f>Valuation!$B$16</f>
        <v/>
      </c>
      <c r="E10">
        <f>IF(AND(C10&gt;=-0.1,C10&lt;=0),"YES","NO")</f>
        <v/>
      </c>
    </row>
    <row r="12">
      <c r="B12" s="38" t="inlineStr">
        <is>
          <t>VERDICT</t>
        </is>
      </c>
      <c r="C12" s="39">
        <f>IF(AND(E5="PASS",E6="PASS",E7="PASS",E8="PASS"),"VIABLE",IF(OR(AND(E5="PASS",E6="PASS",E7="PASS"),E10="YES"),"BORDERLINE","NOT VIABLE"))</f>
        <v/>
      </c>
    </row>
    <row r="14">
      <c r="A14" s="6" t="inlineStr"/>
      <c r="B14" s="6" t="inlineStr">
        <is>
          <t>Criterion 4 detail (base case, model_core.py)</t>
        </is>
      </c>
      <c r="C14" s="6" t="inlineStr">
        <is>
          <t>NPV at pessimistic</t>
        </is>
      </c>
      <c r="D14" s="6" t="inlineStr">
        <is>
          <t>Pessimistic column</t>
        </is>
      </c>
      <c r="E14" s="6" t="inlineStr">
        <is>
          <t>NPV &gt; 0?</t>
        </is>
      </c>
    </row>
    <row r="15">
      <c r="B15" t="inlineStr">
        <is>
          <t>Green premium (public &amp; private)</t>
        </is>
      </c>
      <c r="C15" s="31" t="n">
        <v>-5289067.976439959</v>
      </c>
      <c r="D15" t="inlineStr">
        <is>
          <t>low</t>
        </is>
      </c>
      <c r="E15" t="inlineStr">
        <is>
          <t>FAIL</t>
        </is>
      </c>
    </row>
    <row r="16">
      <c r="B16" t="inlineStr">
        <is>
          <t>Recycled aggregate price, ex-works (EUR 10-25/t)</t>
        </is>
      </c>
      <c r="C16" s="31" t="n">
        <v>-5879690.624213712</v>
      </c>
      <c r="D16" t="inlineStr">
        <is>
          <t>high</t>
        </is>
      </c>
      <c r="E16" t="inlineStr">
        <is>
          <t>FAIL</t>
        </is>
      </c>
    </row>
    <row r="17">
      <c r="B17" t="inlineStr">
        <is>
          <t>Transport distance (delivery 10-35 km + RCA haul 15-50 km)</t>
        </is>
      </c>
      <c r="C17" s="31" t="n">
        <v>-8357077.504590822</v>
      </c>
      <c r="D17" t="inlineStr">
        <is>
          <t>high</t>
        </is>
      </c>
      <c r="E17" t="inlineStr">
        <is>
          <t>FAIL</t>
        </is>
      </c>
    </row>
    <row r="18">
      <c r="B18" t="inlineStr">
        <is>
          <t>Cement price + ETS/CBAM path</t>
        </is>
      </c>
      <c r="C18" s="31" t="n">
        <v>-7461840.761356306</v>
      </c>
      <c r="D18" t="inlineStr">
        <is>
          <t>high</t>
        </is>
      </c>
      <c r="E18" t="inlineStr">
        <is>
          <t>FAIL</t>
        </is>
      </c>
    </row>
    <row r="19">
      <c r="B19" t="inlineStr">
        <is>
          <t>Plant utilisation (50k-90k m3/yr)</t>
        </is>
      </c>
      <c r="C19" s="31" t="n">
        <v>-7375999.251992014</v>
      </c>
      <c r="D19" t="inlineStr">
        <is>
          <t>low</t>
        </is>
      </c>
      <c r="E19" t="inlineStr">
        <is>
          <t>FAIL</t>
        </is>
      </c>
    </row>
    <row r="20">
      <c r="B20" t="inlineStr">
        <is>
          <t>Capex (plant, civil, permits)</t>
        </is>
      </c>
      <c r="C20" s="31" t="n">
        <v>-7237858.534033164</v>
      </c>
      <c r="D20" t="inlineStr">
        <is>
          <t>high</t>
        </is>
      </c>
      <c r="E20" t="inlineStr">
        <is>
          <t>FAIL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2026-10-22T08:54:35Z</dcterms:created>
  <dcterms:modified xmlns:dcterms="http://purl.org/dc/terms/" xmlns:xsi="http://www.w3.org/2001/XMLSchema-instance" xsi:type="dcterms:W3CDTF">2026-10-22T08:54:36Z</dcterms:modified>
</cp:coreProperties>
</file>